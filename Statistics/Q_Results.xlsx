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drawings/drawing2.xml" ContentType="application/vnd.openxmlformats-officedocument.drawingml.chartshap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5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<sst xmlns="http://schemas.openxmlformats.org/spreadsheetml/2006/main" count="773" uniqueCount="167">
  <si>
    <t>Day 1</t>
  </si>
  <si>
    <t>Day 2</t>
  </si>
  <si>
    <t>[1]</t>
  </si>
  <si>
    <t>[2]</t>
  </si>
  <si>
    <t>[3][δ.]</t>
  </si>
  <si>
    <t>[4][α.γ.]</t>
  </si>
  <si>
    <t>[5][α.γ.δ.]</t>
  </si>
  <si>
    <t>[6][β.γ.]</t>
  </si>
  <si>
    <t>[7][α.γ.]</t>
  </si>
  <si>
    <t>[8][α.γ.]</t>
  </si>
  <si>
    <t>[9][δ.]</t>
  </si>
  <si>
    <t>[10][β.]</t>
  </si>
  <si>
    <t>[11][δ.]</t>
  </si>
  <si>
    <t>[12][β.]</t>
  </si>
  <si>
    <t>[13][δ.]</t>
  </si>
  <si>
    <t>[14]_ 4η Κατηγορία</t>
  </si>
  <si>
    <t>1η Κατ.</t>
  </si>
  <si>
    <t>2η Κατ.</t>
  </si>
  <si>
    <t>3η Κατ.</t>
  </si>
  <si>
    <t>Συνολικά</t>
  </si>
  <si>
    <t>[14]</t>
  </si>
  <si>
    <t>Ποσοστό Βελτίωσης</t>
  </si>
  <si>
    <t>[15]</t>
  </si>
  <si>
    <t>[16]</t>
  </si>
  <si>
    <t>[17]</t>
  </si>
  <si>
    <t>[18]</t>
  </si>
  <si>
    <t>[19]*</t>
  </si>
  <si>
    <t>Ναι</t>
  </si>
  <si>
    <t>Γυναίκα</t>
  </si>
  <si>
    <t>α</t>
  </si>
  <si>
    <t>αδ</t>
  </si>
  <si>
    <t>γδ</t>
  </si>
  <si>
    <t>βδ</t>
  </si>
  <si>
    <t>αγ</t>
  </si>
  <si>
    <t>δ</t>
  </si>
  <si>
    <t>β</t>
  </si>
  <si>
    <t>γ</t>
  </si>
  <si>
    <r>
      <rPr>
        <sz val="11"/>
        <color theme="1"/>
        <rFont val="Calibri"/>
        <charset val="134"/>
        <scheme val="minor"/>
      </rPr>
      <t>α</t>
    </r>
    <r>
      <rPr>
        <sz val="11"/>
        <color theme="4" tint="-0.25"/>
        <rFont val="Calibri"/>
        <charset val="134"/>
        <scheme val="minor"/>
      </rPr>
      <t>γ</t>
    </r>
  </si>
  <si>
    <t>αβδ</t>
  </si>
  <si>
    <r>
      <rPr>
        <sz val="11"/>
        <color theme="1"/>
        <rFont val="Calibri"/>
        <charset val="134"/>
        <scheme val="minor"/>
      </rPr>
      <t>α</t>
    </r>
    <r>
      <rPr>
        <sz val="11"/>
        <color theme="4" tint="-0.25"/>
        <rFont val="Calibri"/>
        <charset val="134"/>
        <scheme val="minor"/>
      </rPr>
      <t>γ</t>
    </r>
    <r>
      <rPr>
        <sz val="11"/>
        <color theme="1"/>
        <rFont val="Calibri"/>
        <charset val="134"/>
        <scheme val="minor"/>
      </rPr>
      <t>δ</t>
    </r>
  </si>
  <si>
    <r>
      <rPr>
        <sz val="11"/>
        <color theme="1"/>
        <rFont val="Calibri"/>
        <charset val="134"/>
        <scheme val="minor"/>
      </rPr>
      <t>β</t>
    </r>
    <r>
      <rPr>
        <sz val="11"/>
        <color theme="4" tint="-0.25"/>
        <rFont val="Calibri"/>
        <charset val="134"/>
        <scheme val="minor"/>
      </rPr>
      <t>γ</t>
    </r>
  </si>
  <si>
    <t>αβγ</t>
  </si>
  <si>
    <t>αγδ</t>
  </si>
  <si>
    <t>βγ</t>
  </si>
  <si>
    <r>
      <rPr>
        <sz val="11"/>
        <color theme="4" tint="-0.25"/>
        <rFont val="Calibri"/>
        <charset val="134"/>
        <scheme val="minor"/>
      </rPr>
      <t>α</t>
    </r>
    <r>
      <rPr>
        <sz val="11"/>
        <color theme="1"/>
        <rFont val="Calibri"/>
        <charset val="134"/>
        <scheme val="minor"/>
      </rPr>
      <t>δ</t>
    </r>
  </si>
  <si>
    <t>Άνδρας</t>
  </si>
  <si>
    <t>βγδ</t>
  </si>
  <si>
    <r>
      <rPr>
        <sz val="11"/>
        <color theme="4" tint="-0.25"/>
        <rFont val="Calibri"/>
        <charset val="134"/>
        <scheme val="minor"/>
      </rPr>
      <t>α</t>
    </r>
    <r>
      <rPr>
        <sz val="11"/>
        <rFont val="Calibri"/>
        <charset val="134"/>
        <scheme val="minor"/>
      </rPr>
      <t>γ</t>
    </r>
  </si>
  <si>
    <r>
      <rPr>
        <sz val="11"/>
        <color theme="1"/>
        <rFont val="Calibri"/>
        <charset val="134"/>
        <scheme val="minor"/>
      </rPr>
      <t>γ</t>
    </r>
    <r>
      <rPr>
        <sz val="11"/>
        <color theme="4" tint="-0.25"/>
        <rFont val="Calibri"/>
        <charset val="134"/>
        <scheme val="minor"/>
      </rPr>
      <t>δ</t>
    </r>
  </si>
  <si>
    <t>αβ</t>
  </si>
  <si>
    <r>
      <rPr>
        <sz val="11"/>
        <color theme="1"/>
        <rFont val="Calibri"/>
        <charset val="134"/>
        <scheme val="minor"/>
      </rPr>
      <t>α</t>
    </r>
    <r>
      <rPr>
        <sz val="11"/>
        <color theme="4" tint="-0.25"/>
        <rFont val="Calibri"/>
        <charset val="134"/>
        <scheme val="minor"/>
      </rPr>
      <t>βδ</t>
    </r>
  </si>
  <si>
    <r>
      <rPr>
        <sz val="11"/>
        <color theme="1"/>
        <rFont val="Calibri"/>
        <charset val="134"/>
        <scheme val="minor"/>
      </rPr>
      <t>α</t>
    </r>
    <r>
      <rPr>
        <sz val="11"/>
        <color theme="4" tint="-0.25"/>
        <rFont val="Calibri"/>
        <charset val="134"/>
        <scheme val="minor"/>
      </rPr>
      <t>δ</t>
    </r>
  </si>
  <si>
    <r>
      <rPr>
        <sz val="11"/>
        <color theme="4" tint="-0.25"/>
        <rFont val="Calibri"/>
        <charset val="134"/>
        <scheme val="minor"/>
      </rPr>
      <t>α</t>
    </r>
    <r>
      <rPr>
        <sz val="11"/>
        <color theme="1"/>
        <rFont val="Calibri"/>
        <charset val="134"/>
        <scheme val="minor"/>
      </rPr>
      <t>γ</t>
    </r>
  </si>
  <si>
    <r>
      <rPr>
        <sz val="11"/>
        <color theme="1"/>
        <rFont val="Calibri"/>
        <charset val="134"/>
        <scheme val="minor"/>
      </rPr>
      <t>β</t>
    </r>
    <r>
      <rPr>
        <sz val="11"/>
        <color theme="4" tint="-0.25"/>
        <rFont val="Calibri"/>
        <charset val="134"/>
        <scheme val="minor"/>
      </rPr>
      <t>δ</t>
    </r>
  </si>
  <si>
    <r>
      <rPr>
        <sz val="11"/>
        <color theme="1"/>
        <rFont val="Calibri"/>
        <charset val="134"/>
        <scheme val="minor"/>
      </rPr>
      <t>γ</t>
    </r>
    <r>
      <rPr>
        <sz val="11"/>
        <color theme="4" tint="-0.25"/>
        <rFont val="Calibri"/>
        <charset val="134"/>
        <scheme val="minor"/>
      </rPr>
      <t>β</t>
    </r>
  </si>
  <si>
    <r>
      <rPr>
        <sz val="11"/>
        <rFont val="Calibri"/>
        <charset val="134"/>
        <scheme val="minor"/>
      </rPr>
      <t>α</t>
    </r>
    <r>
      <rPr>
        <sz val="11"/>
        <color theme="4" tint="-0.25"/>
        <rFont val="Calibri"/>
        <charset val="134"/>
        <scheme val="minor"/>
      </rPr>
      <t>γ</t>
    </r>
    <r>
      <rPr>
        <sz val="11"/>
        <color theme="1"/>
        <rFont val="Calibri"/>
        <charset val="134"/>
        <scheme val="minor"/>
      </rPr>
      <t>δ</t>
    </r>
  </si>
  <si>
    <r>
      <rPr>
        <sz val="11"/>
        <color theme="4" tint="-0.25"/>
        <rFont val="Calibri"/>
        <charset val="134"/>
        <scheme val="minor"/>
      </rPr>
      <t>αγ</t>
    </r>
    <r>
      <rPr>
        <sz val="11"/>
        <color theme="1"/>
        <rFont val="Calibri"/>
        <charset val="134"/>
        <scheme val="minor"/>
      </rPr>
      <t>δ</t>
    </r>
  </si>
  <si>
    <t>_</t>
  </si>
  <si>
    <r>
      <rPr>
        <sz val="11"/>
        <color theme="4" tint="-0.25"/>
        <rFont val="Calibri"/>
        <charset val="134"/>
        <scheme val="minor"/>
      </rPr>
      <t>γ</t>
    </r>
    <r>
      <rPr>
        <sz val="11"/>
        <color theme="1"/>
        <rFont val="Calibri"/>
        <charset val="134"/>
        <scheme val="minor"/>
      </rPr>
      <t>δ</t>
    </r>
  </si>
  <si>
    <t>[7 F, 10 M]</t>
  </si>
  <si>
    <t>[5]</t>
  </si>
  <si>
    <t>[4]</t>
  </si>
  <si>
    <t>[9]</t>
  </si>
  <si>
    <t>[12]</t>
  </si>
  <si>
    <t>|10</t>
  </si>
  <si>
    <t>[6]</t>
  </si>
  <si>
    <t>[10]</t>
  </si>
  <si>
    <t>[11]</t>
  </si>
  <si>
    <t>&lt;--- Averages</t>
  </si>
  <si>
    <t>Γυναίκα = Woman</t>
  </si>
  <si>
    <t>Άνδρας = Man</t>
  </si>
  <si>
    <t>[Τα μπλέ γράμματα υποδεικνύουν αλλαγή] = [blue letters showcase change]</t>
  </si>
  <si>
    <t>Familiarising</t>
  </si>
  <si>
    <t>Remembering</t>
  </si>
  <si>
    <t>Understanding</t>
  </si>
  <si>
    <t>Applying</t>
  </si>
  <si>
    <t>[Στους πίνακες με τους χρόνους και τα gems στα minigames είναι κενά γιατί σε όλα είναι 16]</t>
  </si>
  <si>
    <t>Not at all</t>
  </si>
  <si>
    <t>Activity</t>
  </si>
  <si>
    <t>Diagram</t>
  </si>
  <si>
    <t>Slightly</t>
  </si>
  <si>
    <t>Minig 1</t>
  </si>
  <si>
    <t>Minig 2</t>
  </si>
  <si>
    <t>Exe 1</t>
  </si>
  <si>
    <t>Exe 2</t>
  </si>
  <si>
    <t>Exe 3</t>
  </si>
  <si>
    <t>Moderately</t>
  </si>
  <si>
    <t>Time</t>
  </si>
  <si>
    <t>Gems</t>
  </si>
  <si>
    <t>Mini_Tot</t>
  </si>
  <si>
    <t>Ex_Total</t>
  </si>
  <si>
    <t>Significantly</t>
  </si>
  <si>
    <t>Very much</t>
  </si>
  <si>
    <t>Use Case</t>
  </si>
  <si>
    <t>Percentage of improvement per diagram type</t>
  </si>
  <si>
    <t>Sequence</t>
  </si>
  <si>
    <t>Class</t>
  </si>
  <si>
    <t>Percentage of improvement per RQ-Quiz Accuracy</t>
  </si>
  <si>
    <t>RQ1</t>
  </si>
  <si>
    <t>94,87%</t>
  </si>
  <si>
    <t>RQ2</t>
  </si>
  <si>
    <t>61,97%</t>
  </si>
  <si>
    <t>RQ3</t>
  </si>
  <si>
    <t>8,77%</t>
  </si>
  <si>
    <t>RQ4</t>
  </si>
  <si>
    <t>39,43%</t>
  </si>
  <si>
    <t>Minig 3</t>
  </si>
  <si>
    <t>17 students</t>
  </si>
  <si>
    <t>Είναι ένα πολύ ενδιαφέρον παιχνίδι γνώσεων, απλά χρειάζεται περισσότερες ασκήσεις που θα είναι τυχαίες ώστε να μην επαναλαμβάνονται τα ίδια.</t>
  </si>
  <si>
    <t>Ήταν εύκολο στη χρήση και ευχάριστο. Έδινε ένα κλίμα δοκιμασίας με τον αντίστροφο χρόνο και ώθηση για την ολοκλήρωση του με την συλλογή διαμαντιών και καρδιών. Πολύ χρήσιμο για την μελλοντική μελέτη για τις γραπτές εξετάσεις.</t>
  </si>
  <si>
    <t>Ναι με βοήθησε στο να θυμηθώ ευκολότερα τα σύμβολα των διαγραμμάτων αλλά και να περιγράψω την λειτουργία τους.</t>
  </si>
  <si>
    <t>Στα διαγράμματα κλάσεων οι εκφωνήσεις ήταν ασαφείς.</t>
  </si>
  <si>
    <t>Πολύ ωραία εφαρμογή, βοηθητικό θεωρητικό υλικό, όχι πολύ επεξηγηματικές εκφωνήσεις λαμβάνοντας υπόψιν ότι ήταν στα αγγλικά.</t>
  </si>
  <si>
    <t>Αυτό που μου άρεσε στο UMLcraft είναι τα minigames, τα οποία με πολύ ωραίο τρόπο και καθόλου κουραστικό σε βοηθάν να κατανοήσεις την θεωρία. Έτσι, σε βοηθά να βελτιώσεις τη σχέση σου με την UML. Εξαιρετικό παιχνίδι!</t>
  </si>
  <si>
    <t>Θεωρώ πως το παιχνίδι βοηθάει στο να κατανοήσεις και να μάθεις σχετικά με την UML καθώς είναι διαδραστικό και μέσα από τις προσπάθειες μπορείς να προσαρμοστείς με το παιχνίδι. Επομένως, σίγουρα βοηθάει να μάθεις με πιο εύκολο και διασκεδαστικό τρόπο. Ωστόσο το όριο καρδιών θα μπορούσε να φτάνει μέχρι 20-25 ώστε να μην χρειάζεται να λύσεις ξανά τα minigames.</t>
  </si>
  <si>
    <t>Η ευχαρίστηση της σωστής επίλυσης παράλληλα με την αίσθηση της προσωπικής βελτίωσης στο μάθημα.</t>
  </si>
  <si>
    <t>Ήταν αρκετά ωραίο παιχνίδι, σημαντικές λεπτομέρειες που βοήθησαν ήταν η πολύ καλή σχεδιασμένη θεωρία με τα σχήματα και το τι συμβολίζουν. Οι ζωές ήταν αρκετά διασκεδαστικές. Πιστεύω πως με βοήθησε να βελτιωθώ.</t>
  </si>
  <si>
    <t>Είναι ωραίο και βοηθητικό το σύστημα με τις καρδιές και τα gems ώστε ο παίκτης να είναι πιο προσεκτικός για να πάρει ένα reward. Με αυτή την διαδραστική προσέγγιση γίνονται ευκολότερα κατανοητές οι έννοιες της UML.</t>
  </si>
  <si>
    <t>Ήταν εύκολο να κατανοήσεις τις ασκήσεις και τις λειτουργίες των διαγραμμάτων κατά την διάρκεια του παιχνιδιού αλλά πιστεύω πως αρκετά από αυτά σε καθοδηγούν να απαντήσεις και μπορεί αυτό να μην ανταποκρίνεται στην λύση πραγματικών ασκήσεων.</t>
  </si>
  <si>
    <t>Μου άρεσε το store και η δυνατότητα να αγοράσω upgrades για τα sessions μου.</t>
  </si>
  <si>
    <t>Είναι διαφορετικό να κάνεις στην πράξη ένα διάγραμμα από την αρχή από το να τοποθετείς στοιχεία ενός διαγράμματος στην σωστή θέση.</t>
  </si>
  <si>
    <t>Είναι απλό και κατανοητό χωρίς να χρειαστεί ο χρήστης να διαβάσει τις οδηγίες. Με βοήθησε να κατανοήσω αρκετά πράγματα.</t>
  </si>
  <si>
    <t>Ευχάριστο και κατανοητό UI για εξοικείωση με την UML. Έξυπνα και καλοσχεδιασμένα παιχνίδια που συνδυάζουν πολλές έννοιες.</t>
  </si>
  <si>
    <t>Ήταν πολύ διασκεδαστικό και μάθαμε όλα τα διαγράμματα αναλυτικά. Σίγουρα θα το χρησιμοποιήσω για την προετοιμασία μου στην εξεταστική!</t>
  </si>
  <si>
    <t>Grade:</t>
  </si>
  <si>
    <t>ΑΜ</t>
  </si>
  <si>
    <t>Project</t>
  </si>
  <si>
    <t>Exam</t>
  </si>
  <si>
    <t>Final</t>
  </si>
  <si>
    <t>!game</t>
  </si>
  <si>
    <t>game</t>
  </si>
  <si>
    <t>0,0</t>
  </si>
  <si>
    <t>1,5</t>
  </si>
  <si>
    <t>0,9</t>
  </si>
  <si>
    <t>2,5</t>
  </si>
  <si>
    <t>1,8</t>
  </si>
  <si>
    <t>8,0</t>
  </si>
  <si>
    <t>2,0</t>
  </si>
  <si>
    <t>2,1</t>
  </si>
  <si>
    <t>2,7</t>
  </si>
  <si>
    <t>5,6</t>
  </si>
  <si>
    <t>3,4</t>
  </si>
  <si>
    <t>2,6</t>
  </si>
  <si>
    <t>3,6</t>
  </si>
  <si>
    <t>6,1</t>
  </si>
  <si>
    <t>3,7</t>
  </si>
  <si>
    <t>2,8</t>
  </si>
  <si>
    <t>1,4</t>
  </si>
  <si>
    <t>4,0</t>
  </si>
  <si>
    <t>4,5</t>
  </si>
  <si>
    <t>5,0</t>
  </si>
  <si>
    <t>5,1</t>
  </si>
  <si>
    <t>5,2</t>
  </si>
  <si>
    <t>16 students</t>
  </si>
  <si>
    <t>8,6</t>
  </si>
  <si>
    <t>5,4</t>
  </si>
  <si>
    <t>5,7</t>
  </si>
  <si>
    <t>7,5</t>
  </si>
  <si>
    <t>6,5</t>
  </si>
  <si>
    <t>6,7</t>
  </si>
  <si>
    <t>7,1</t>
  </si>
  <si>
    <t>7,6</t>
  </si>
  <si>
    <t>8,2</t>
  </si>
  <si>
    <t>6,2</t>
  </si>
  <si>
    <t>7,7</t>
  </si>
  <si>
    <t>8,9</t>
  </si>
  <si>
    <t>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</si>
</sst>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h:mm;@"/>
    <numFmt numFmtId="177" formatCode="h:mm"/>
    <numFmt numFmtId="178" formatCode="0.0_ "/>
  </numFmts>
  <fonts count="24">
    <font>
      <sz val="11"/>
      <color theme="1"/>
      <name val="Calibri"/>
      <charset val="134"/>
      <scheme val="minor"/>
    </font>
    <font>
      <b/>
      <sz val="11"/>
      <color theme="1"/>
      <name val="Calibri"/>
      <charset val="134"/>
      <scheme val="minor"/>
    </font>
    <font>
      <sz val="11"/>
      <color rgb="FFC00000"/>
      <name val="Calibri"/>
      <charset val="134"/>
      <scheme val="minor"/>
    </font>
    <font>
      <sz val="11"/>
      <name val="Calibri"/>
      <charset val="134"/>
      <scheme val="minor"/>
    </font>
    <font>
      <sz val="11"/>
      <color theme="4" tint="-0.25"/>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theme="9" tint="0.6"/>
        <bgColor indexed="64"/>
      </patternFill>
    </fill>
    <fill>
      <patternFill patternType="solid">
        <fgColor theme="4" tint="0.8"/>
        <bgColor indexed="64"/>
      </patternFill>
    </fill>
    <fill>
      <patternFill patternType="solid">
        <fgColor theme="5" tint="0.8"/>
        <bgColor indexed="64"/>
      </patternFill>
    </fill>
    <fill>
      <patternFill patternType="solid">
        <fgColor theme="9" tint="0.8"/>
        <bgColor indexed="64"/>
      </patternFill>
    </fill>
    <fill>
      <patternFill patternType="solid">
        <fgColor theme="8" tint="0.8"/>
        <bgColor indexed="64"/>
      </patternFill>
    </fill>
    <fill>
      <patternFill patternType="solid">
        <fgColor theme="2" tint="-0.1"/>
        <bgColor indexed="64"/>
      </patternFill>
    </fill>
    <fill>
      <patternFill patternType="solid">
        <fgColor theme="0" tint="-0.25"/>
        <bgColor indexed="64"/>
      </patternFill>
    </fill>
    <fill>
      <patternFill patternType="solid">
        <fgColor theme="5" tint="0.4"/>
        <bgColor indexed="64"/>
      </patternFill>
    </fill>
    <fill>
      <patternFill patternType="solid">
        <fgColor theme="7" tint="0.6"/>
        <bgColor indexed="64"/>
      </patternFill>
    </fill>
    <fill>
      <patternFill patternType="solid">
        <fgColor theme="6" tint="0.6"/>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3" borderId="16"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7" applyNumberFormat="0" applyFill="0" applyAlignment="0" applyProtection="0">
      <alignment vertical="center"/>
    </xf>
    <xf numFmtId="0" fontId="11" fillId="0" borderId="17" applyNumberFormat="0" applyFill="0" applyAlignment="0" applyProtection="0">
      <alignment vertical="center"/>
    </xf>
    <xf numFmtId="0" fontId="12" fillId="0" borderId="18" applyNumberFormat="0" applyFill="0" applyAlignment="0" applyProtection="0">
      <alignment vertical="center"/>
    </xf>
    <xf numFmtId="0" fontId="12" fillId="0" borderId="0" applyNumberFormat="0" applyFill="0" applyBorder="0" applyAlignment="0" applyProtection="0">
      <alignment vertical="center"/>
    </xf>
    <xf numFmtId="0" fontId="13" fillId="14" borderId="19" applyNumberFormat="0" applyAlignment="0" applyProtection="0">
      <alignment vertical="center"/>
    </xf>
    <xf numFmtId="0" fontId="14" fillId="15" borderId="20" applyNumberFormat="0" applyAlignment="0" applyProtection="0">
      <alignment vertical="center"/>
    </xf>
    <xf numFmtId="0" fontId="15" fillId="15" borderId="19" applyNumberFormat="0" applyAlignment="0" applyProtection="0">
      <alignment vertical="center"/>
    </xf>
    <xf numFmtId="0" fontId="16" fillId="16" borderId="21" applyNumberFormat="0" applyAlignment="0" applyProtection="0">
      <alignment vertical="center"/>
    </xf>
    <xf numFmtId="0" fontId="17" fillId="0" borderId="22" applyNumberFormat="0" applyFill="0" applyAlignment="0" applyProtection="0">
      <alignment vertical="center"/>
    </xf>
    <xf numFmtId="0" fontId="18" fillId="0" borderId="23" applyNumberFormat="0" applyFill="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2" fillId="39" borderId="0" applyNumberFormat="0" applyBorder="0" applyAlignment="0" applyProtection="0">
      <alignment vertical="center"/>
    </xf>
    <xf numFmtId="0" fontId="22" fillId="40" borderId="0" applyNumberFormat="0" applyBorder="0" applyAlignment="0" applyProtection="0">
      <alignment vertical="center"/>
    </xf>
    <xf numFmtId="0" fontId="23" fillId="41" borderId="0" applyNumberFormat="0" applyBorder="0" applyAlignment="0" applyProtection="0">
      <alignment vertical="center"/>
    </xf>
    <xf numFmtId="0" fontId="23" fillId="42" borderId="0" applyNumberFormat="0" applyBorder="0" applyAlignment="0" applyProtection="0">
      <alignment vertical="center"/>
    </xf>
    <xf numFmtId="0" fontId="22" fillId="43" borderId="0" applyNumberFormat="0" applyBorder="0" applyAlignment="0" applyProtection="0">
      <alignment vertical="center"/>
    </xf>
  </cellStyleXfs>
  <cellXfs count="143">
    <xf numFmtId="0" fontId="0" fillId="0" borderId="0" xfId="0">
      <alignment vertical="center"/>
    </xf>
    <xf numFmtId="0" fontId="1" fillId="2" borderId="0" xfId="0" applyFont="1" applyFill="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0" borderId="0" xfId="0" applyAlignment="1">
      <alignment horizontal="center" vertical="center"/>
    </xf>
    <xf numFmtId="0" fontId="0" fillId="0" borderId="4" xfId="0" applyBorder="1">
      <alignment vertical="center"/>
    </xf>
    <xf numFmtId="0" fontId="0" fillId="4" borderId="0" xfId="0" applyFill="1"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5" xfId="0" applyBorder="1" applyAlignment="1">
      <alignment horizontal="center" vertical="center"/>
    </xf>
    <xf numFmtId="0" fontId="0" fillId="5" borderId="0" xfId="0" applyFill="1" applyBorder="1" applyAlignment="1">
      <alignment horizontal="center"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6" borderId="0" xfId="0" applyFill="1" applyBorder="1" applyAlignment="1">
      <alignment horizontal="center" vertical="center"/>
    </xf>
    <xf numFmtId="0" fontId="0" fillId="0" borderId="4" xfId="0" applyNumberFormat="1" applyBorder="1" applyAlignment="1">
      <alignment horizontal="center" vertical="center"/>
    </xf>
    <xf numFmtId="0" fontId="0" fillId="0" borderId="6" xfId="0" applyBorder="1">
      <alignment vertical="center"/>
    </xf>
    <xf numFmtId="0" fontId="0" fillId="6" borderId="7" xfId="0"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5" borderId="7" xfId="0" applyFill="1" applyBorder="1" applyAlignment="1">
      <alignment horizontal="center" vertical="center"/>
    </xf>
    <xf numFmtId="0" fontId="1" fillId="3" borderId="0" xfId="0" applyFont="1" applyFill="1">
      <alignment vertical="center"/>
    </xf>
    <xf numFmtId="0" fontId="1" fillId="0" borderId="4" xfId="0" applyFont="1" applyBorder="1">
      <alignment vertical="center"/>
    </xf>
    <xf numFmtId="0" fontId="1" fillId="0" borderId="0" xfId="0" applyFont="1">
      <alignment vertical="center"/>
    </xf>
    <xf numFmtId="0" fontId="0" fillId="0" borderId="3" xfId="0" applyBorder="1" applyAlignment="1">
      <alignment horizontal="center" vertical="center"/>
    </xf>
    <xf numFmtId="0" fontId="0" fillId="0" borderId="9" xfId="0" applyBorder="1" applyAlignment="1">
      <alignment horizontal="left" vertical="center"/>
    </xf>
    <xf numFmtId="176" fontId="0" fillId="0" borderId="10" xfId="0" applyNumberFormat="1" applyBorder="1" applyAlignment="1">
      <alignment horizontal="center" vertical="center"/>
    </xf>
    <xf numFmtId="0" fontId="0" fillId="0" borderId="11" xfId="0" applyBorder="1" applyAlignment="1">
      <alignment horizontal="center" vertical="center"/>
    </xf>
    <xf numFmtId="177" fontId="0" fillId="0" borderId="12" xfId="0" applyNumberFormat="1" applyBorder="1" applyAlignment="1">
      <alignment horizontal="center" vertical="center"/>
    </xf>
    <xf numFmtId="0" fontId="0" fillId="0" borderId="13" xfId="0" applyBorder="1" applyAlignment="1">
      <alignment horizontal="left" vertical="center"/>
    </xf>
    <xf numFmtId="176" fontId="0" fillId="0" borderId="0" xfId="0" applyNumberFormat="1" applyAlignment="1">
      <alignment horizontal="center" vertical="center"/>
    </xf>
    <xf numFmtId="177" fontId="0" fillId="0" borderId="4" xfId="0" applyNumberFormat="1" applyBorder="1" applyAlignment="1">
      <alignment horizontal="center" vertical="center"/>
    </xf>
    <xf numFmtId="0" fontId="0" fillId="0" borderId="14" xfId="0" applyBorder="1" applyAlignment="1">
      <alignment horizontal="left" vertical="center"/>
    </xf>
    <xf numFmtId="176" fontId="0" fillId="0" borderId="7" xfId="0" applyNumberFormat="1" applyBorder="1" applyAlignment="1">
      <alignment horizontal="center" vertical="center"/>
    </xf>
    <xf numFmtId="177" fontId="0" fillId="0" borderId="6" xfId="0" applyNumberFormat="1" applyBorder="1" applyAlignment="1">
      <alignment horizontal="center" vertical="center"/>
    </xf>
    <xf numFmtId="0" fontId="0" fillId="0" borderId="0" xfId="0" applyAlignment="1">
      <alignment horizontal="left" vertical="center"/>
    </xf>
    <xf numFmtId="0" fontId="1" fillId="5" borderId="0" xfId="0" applyFont="1" applyFill="1">
      <alignment vertical="center"/>
    </xf>
    <xf numFmtId="177" fontId="0" fillId="0" borderId="10" xfId="0" applyNumberFormat="1" applyBorder="1" applyAlignment="1">
      <alignment horizontal="center" vertical="center"/>
    </xf>
    <xf numFmtId="177" fontId="0" fillId="0" borderId="0" xfId="0" applyNumberFormat="1" applyAlignment="1">
      <alignment horizontal="center" vertical="center"/>
    </xf>
    <xf numFmtId="177" fontId="0" fillId="0" borderId="7" xfId="0" applyNumberFormat="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xf>
    <xf numFmtId="0" fontId="2" fillId="0" borderId="3" xfId="0" applyFont="1" applyBorder="1" applyAlignment="1">
      <alignment horizontal="center" vertical="center"/>
    </xf>
    <xf numFmtId="0" fontId="0" fillId="3" borderId="15" xfId="0" applyFill="1" applyBorder="1" applyAlignment="1">
      <alignment horizontal="center" vertical="center"/>
    </xf>
    <xf numFmtId="0" fontId="2" fillId="0" borderId="5" xfId="0" applyFont="1" applyBorder="1" applyAlignment="1">
      <alignment horizontal="center" vertical="center"/>
    </xf>
    <xf numFmtId="0" fontId="0" fillId="0" borderId="13" xfId="0" applyBorder="1" applyAlignment="1">
      <alignment horizontal="center" vertical="center"/>
    </xf>
    <xf numFmtId="0" fontId="0" fillId="5" borderId="8" xfId="0" applyFill="1" applyBorder="1" applyAlignment="1">
      <alignment horizontal="center" vertical="center"/>
    </xf>
    <xf numFmtId="0" fontId="2" fillId="0" borderId="8" xfId="0" applyFont="1" applyBorder="1" applyAlignment="1">
      <alignment horizontal="center" vertical="center"/>
    </xf>
    <xf numFmtId="0" fontId="0" fillId="0" borderId="14" xfId="0" applyBorder="1" applyAlignment="1">
      <alignment horizontal="center" vertical="center"/>
    </xf>
    <xf numFmtId="176" fontId="0" fillId="0" borderId="9" xfId="0" applyNumberFormat="1" applyBorder="1" applyAlignment="1">
      <alignment horizontal="center" vertical="center"/>
    </xf>
    <xf numFmtId="20" fontId="0" fillId="0" borderId="11" xfId="0" applyNumberFormat="1" applyBorder="1" applyAlignment="1">
      <alignment horizontal="center" vertical="center"/>
    </xf>
    <xf numFmtId="176" fontId="0" fillId="0" borderId="13" xfId="0" applyNumberFormat="1" applyBorder="1" applyAlignment="1">
      <alignment horizontal="center" vertical="center"/>
    </xf>
    <xf numFmtId="20" fontId="0" fillId="0" borderId="5" xfId="0" applyNumberFormat="1" applyBorder="1" applyAlignment="1">
      <alignment horizontal="center" vertical="center"/>
    </xf>
    <xf numFmtId="176" fontId="0" fillId="0" borderId="14" xfId="0" applyNumberFormat="1" applyBorder="1" applyAlignment="1">
      <alignment horizontal="center" vertical="center"/>
    </xf>
    <xf numFmtId="20" fontId="0" fillId="0" borderId="8" xfId="0" applyNumberFormat="1" applyBorder="1" applyAlignment="1">
      <alignment horizontal="center" vertical="center"/>
    </xf>
    <xf numFmtId="0" fontId="1" fillId="0" borderId="0" xfId="0" applyFont="1" applyBorder="1">
      <alignment vertical="center"/>
    </xf>
    <xf numFmtId="0" fontId="0" fillId="5" borderId="15" xfId="0" applyFill="1" applyBorder="1" applyAlignment="1">
      <alignment horizontal="center" vertical="center"/>
    </xf>
    <xf numFmtId="20" fontId="0" fillId="0" borderId="9" xfId="0" applyNumberFormat="1" applyBorder="1" applyAlignment="1">
      <alignment horizontal="center" vertical="center"/>
    </xf>
    <xf numFmtId="20" fontId="0" fillId="0" borderId="13" xfId="0" applyNumberFormat="1" applyBorder="1" applyAlignment="1">
      <alignment horizontal="center" vertical="center"/>
    </xf>
    <xf numFmtId="20" fontId="0" fillId="0" borderId="14" xfId="0" applyNumberFormat="1" applyBorder="1" applyAlignment="1">
      <alignment horizontal="center" vertical="center"/>
    </xf>
    <xf numFmtId="0" fontId="0" fillId="4" borderId="15" xfId="0" applyFill="1" applyBorder="1" applyAlignment="1">
      <alignment horizontal="center" vertical="center"/>
    </xf>
    <xf numFmtId="0" fontId="0" fillId="0" borderId="15" xfId="0" applyBorder="1" applyAlignment="1">
      <alignment horizontal="center" vertical="center"/>
    </xf>
    <xf numFmtId="0" fontId="0" fillId="5" borderId="0" xfId="0" applyFont="1" applyFill="1" applyBorder="1" applyAlignment="1">
      <alignment horizontal="center" vertical="center"/>
    </xf>
    <xf numFmtId="0" fontId="3" fillId="5" borderId="4" xfId="0" applyFont="1" applyFill="1" applyBorder="1" applyAlignment="1">
      <alignment horizontal="center" vertical="center"/>
    </xf>
    <xf numFmtId="0" fontId="0" fillId="0" borderId="0" xfId="0" applyFont="1" applyBorder="1" applyAlignment="1">
      <alignment horizontal="center" vertical="center"/>
    </xf>
    <xf numFmtId="0" fontId="4" fillId="5" borderId="4" xfId="0" applyFont="1" applyFill="1" applyBorder="1" applyAlignment="1">
      <alignment horizontal="center" vertical="center"/>
    </xf>
    <xf numFmtId="0" fontId="4" fillId="5" borderId="0" xfId="0" applyFont="1" applyFill="1" applyBorder="1" applyAlignment="1">
      <alignment horizontal="center" vertical="center"/>
    </xf>
    <xf numFmtId="0" fontId="3" fillId="0" borderId="0" xfId="0" applyFont="1" applyBorder="1" applyAlignment="1">
      <alignment horizontal="center" vertical="center"/>
    </xf>
    <xf numFmtId="0" fontId="4" fillId="5" borderId="4" xfId="0" applyNumberFormat="1" applyFont="1" applyFill="1" applyBorder="1" applyAlignment="1">
      <alignment horizontal="center" vertical="center"/>
    </xf>
    <xf numFmtId="0" fontId="0" fillId="5" borderId="5" xfId="0" applyFont="1" applyFill="1" applyBorder="1" applyAlignment="1">
      <alignment horizontal="center" vertical="center"/>
    </xf>
    <xf numFmtId="0" fontId="0" fillId="5" borderId="4" xfId="0" applyFont="1" applyFill="1" applyBorder="1" applyAlignment="1">
      <alignment horizontal="center" vertical="center"/>
    </xf>
    <xf numFmtId="0" fontId="4" fillId="0" borderId="5" xfId="0" applyFont="1" applyBorder="1" applyAlignment="1">
      <alignment horizontal="center" vertical="center"/>
    </xf>
    <xf numFmtId="0" fontId="4" fillId="0" borderId="0" xfId="0" applyFont="1" applyBorder="1" applyAlignment="1">
      <alignment horizontal="center" vertical="center"/>
    </xf>
    <xf numFmtId="0" fontId="4" fillId="5" borderId="5" xfId="0" applyFont="1" applyFill="1" applyBorder="1" applyAlignment="1">
      <alignment horizontal="center" vertical="center"/>
    </xf>
    <xf numFmtId="0" fontId="0" fillId="0" borderId="5" xfId="0" applyFont="1" applyBorder="1" applyAlignment="1">
      <alignment horizontal="center" vertical="center"/>
    </xf>
    <xf numFmtId="0" fontId="3" fillId="5" borderId="0" xfId="0" applyFont="1" applyFill="1" applyBorder="1" applyAlignment="1">
      <alignment horizontal="center" vertical="center"/>
    </xf>
    <xf numFmtId="0" fontId="4" fillId="0" borderId="4" xfId="0" applyFont="1" applyBorder="1" applyAlignment="1">
      <alignment horizontal="center" vertical="center"/>
    </xf>
    <xf numFmtId="0" fontId="0" fillId="0" borderId="4" xfId="0" applyFont="1" applyBorder="1" applyAlignment="1">
      <alignment horizontal="center" vertical="center"/>
    </xf>
    <xf numFmtId="0" fontId="3" fillId="5" borderId="5" xfId="0" applyFont="1" applyFill="1" applyBorder="1" applyAlignment="1">
      <alignment horizontal="center" vertical="center"/>
    </xf>
    <xf numFmtId="0" fontId="0" fillId="5" borderId="8" xfId="0" applyFont="1" applyFill="1" applyBorder="1" applyAlignment="1">
      <alignment horizontal="center" vertical="center"/>
    </xf>
    <xf numFmtId="0" fontId="4" fillId="0" borderId="6" xfId="0" applyFont="1" applyBorder="1" applyAlignment="1">
      <alignment horizontal="center" vertical="center"/>
    </xf>
    <xf numFmtId="0" fontId="0" fillId="5" borderId="6" xfId="0" applyFill="1" applyBorder="1" applyAlignment="1">
      <alignment horizontal="center" vertical="center"/>
    </xf>
    <xf numFmtId="0" fontId="0" fillId="5" borderId="3" xfId="0" applyFill="1" applyBorder="1" applyAlignment="1">
      <alignment horizontal="center" vertical="center"/>
    </xf>
    <xf numFmtId="0" fontId="2" fillId="0" borderId="2" xfId="0" applyFont="1" applyBorder="1" applyAlignment="1">
      <alignment horizontal="center" vertical="center"/>
    </xf>
    <xf numFmtId="0" fontId="2" fillId="0" borderId="0" xfId="0" applyFont="1" applyBorder="1" applyAlignment="1">
      <alignment horizontal="center" vertical="center"/>
    </xf>
    <xf numFmtId="0" fontId="0" fillId="8" borderId="4" xfId="0" applyFill="1" applyBorder="1" applyAlignment="1">
      <alignment horizontal="center" vertical="center"/>
    </xf>
    <xf numFmtId="0" fontId="0" fillId="9" borderId="4" xfId="0" applyFill="1" applyBorder="1" applyAlignment="1">
      <alignment horizontal="center" vertical="center"/>
    </xf>
    <xf numFmtId="0" fontId="2" fillId="0" borderId="7" xfId="0" applyFont="1" applyBorder="1" applyAlignment="1">
      <alignment horizontal="center" vertical="center"/>
    </xf>
    <xf numFmtId="0" fontId="0" fillId="8" borderId="6" xfId="0" applyFill="1" applyBorder="1" applyAlignment="1">
      <alignment horizontal="center" vertical="center"/>
    </xf>
    <xf numFmtId="0" fontId="0" fillId="0" borderId="0" xfId="0" applyNumberFormat="1" applyFont="1" applyFill="1" applyBorder="1" applyAlignment="1" applyProtection="1">
      <alignment vertical="center"/>
    </xf>
    <xf numFmtId="9" fontId="0" fillId="0" borderId="0" xfId="0" applyNumberFormat="1">
      <alignment vertical="center"/>
    </xf>
    <xf numFmtId="0" fontId="0" fillId="8" borderId="0" xfId="0" applyFill="1" applyBorder="1" applyAlignment="1">
      <alignment horizontal="center" vertical="center"/>
    </xf>
    <xf numFmtId="0" fontId="0" fillId="9" borderId="0" xfId="0" applyFill="1" applyBorder="1" applyAlignment="1">
      <alignment horizontal="center" vertical="center"/>
    </xf>
    <xf numFmtId="0" fontId="0" fillId="10" borderId="0" xfId="0" applyFill="1" applyBorder="1" applyAlignment="1">
      <alignment horizontal="center" vertical="center"/>
    </xf>
    <xf numFmtId="0" fontId="0" fillId="8" borderId="7" xfId="0" applyFill="1" applyBorder="1" applyAlignment="1">
      <alignment horizontal="center" vertical="center"/>
    </xf>
    <xf numFmtId="10" fontId="0" fillId="0" borderId="0" xfId="0" applyNumberFormat="1">
      <alignment vertical="center"/>
    </xf>
    <xf numFmtId="0" fontId="1" fillId="6" borderId="0" xfId="0" applyFont="1" applyFill="1">
      <alignment vertical="center"/>
    </xf>
    <xf numFmtId="0" fontId="1" fillId="11" borderId="0" xfId="0" applyFont="1" applyFill="1">
      <alignment vertical="center"/>
    </xf>
    <xf numFmtId="0" fontId="1" fillId="0" borderId="0" xfId="0" applyFont="1" applyFill="1">
      <alignment vertical="center"/>
    </xf>
    <xf numFmtId="0" fontId="0" fillId="6" borderId="9" xfId="0" applyFill="1" applyBorder="1" applyAlignment="1">
      <alignment horizontal="center" vertical="center"/>
    </xf>
    <xf numFmtId="0" fontId="0" fillId="6" borderId="15" xfId="0" applyFill="1" applyBorder="1" applyAlignment="1">
      <alignment horizontal="center" vertical="center"/>
    </xf>
    <xf numFmtId="0" fontId="0" fillId="0" borderId="10" xfId="0" applyBorder="1" applyAlignment="1">
      <alignment horizontal="center" vertical="center"/>
    </xf>
    <xf numFmtId="0" fontId="0" fillId="12" borderId="15" xfId="0" applyFill="1" applyBorder="1" applyAlignment="1">
      <alignment horizontal="center" vertical="center"/>
    </xf>
    <xf numFmtId="177" fontId="0" fillId="0" borderId="4" xfId="0" applyNumberFormat="1" applyFill="1" applyBorder="1" applyAlignment="1">
      <alignment horizontal="center" vertical="center"/>
    </xf>
    <xf numFmtId="0" fontId="0" fillId="0" borderId="5" xfId="0" applyFill="1" applyBorder="1" applyAlignment="1">
      <alignment horizontal="center" vertical="center"/>
    </xf>
    <xf numFmtId="0" fontId="0" fillId="6" borderId="3" xfId="0" applyFill="1" applyBorder="1" applyAlignment="1">
      <alignment horizontal="center" vertical="center"/>
    </xf>
    <xf numFmtId="0" fontId="0" fillId="12" borderId="3" xfId="0" applyFill="1" applyBorder="1" applyAlignment="1">
      <alignment horizontal="center" vertical="center"/>
    </xf>
    <xf numFmtId="0" fontId="0" fillId="0" borderId="0" xfId="0" applyFont="1">
      <alignment vertical="center"/>
    </xf>
    <xf numFmtId="0" fontId="0" fillId="0" borderId="0" xfId="0" applyFont="1" applyAlignment="1">
      <alignment horizontal="center" vertical="center"/>
    </xf>
    <xf numFmtId="0" fontId="0" fillId="0" borderId="9" xfId="0" applyFont="1" applyBorder="1" applyAlignment="1">
      <alignment horizontal="center" vertical="center"/>
    </xf>
    <xf numFmtId="0" fontId="3" fillId="0" borderId="9" xfId="0" applyFont="1" applyFill="1" applyBorder="1" applyAlignment="1">
      <alignment horizontal="left" vertical="center" wrapText="1"/>
    </xf>
    <xf numFmtId="0" fontId="3" fillId="0"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0" fillId="5" borderId="9" xfId="0" applyFill="1" applyBorder="1" applyAlignment="1">
      <alignment horizontal="left" vertical="center"/>
    </xf>
    <xf numFmtId="0" fontId="3" fillId="0" borderId="13" xfId="0" applyFont="1" applyFill="1" applyBorder="1" applyAlignment="1">
      <alignment horizontal="left" vertical="center" wrapText="1"/>
    </xf>
    <xf numFmtId="0" fontId="3" fillId="0" borderId="0"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0" fillId="5" borderId="13" xfId="0" applyFill="1" applyBorder="1" applyAlignment="1">
      <alignment horizontal="left" vertical="center"/>
    </xf>
    <xf numFmtId="0" fontId="3" fillId="6" borderId="13" xfId="0" applyFont="1" applyFill="1" applyBorder="1" applyAlignment="1">
      <alignment horizontal="left" vertical="center" wrapText="1"/>
    </xf>
    <xf numFmtId="0" fontId="3" fillId="5" borderId="13" xfId="0" applyFont="1" applyFill="1" applyBorder="1" applyAlignment="1">
      <alignment horizontal="left" vertical="center" wrapText="1"/>
    </xf>
    <xf numFmtId="0" fontId="3" fillId="5" borderId="0"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0" borderId="14" xfId="0" applyFont="1" applyFill="1" applyBorder="1" applyAlignment="1">
      <alignment horizontal="left" vertical="center" wrapText="1"/>
    </xf>
    <xf numFmtId="0" fontId="0" fillId="5" borderId="14" xfId="0" applyFill="1" applyBorder="1" applyAlignment="1">
      <alignment horizontal="left" vertical="center"/>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9" xfId="0" applyFont="1" applyFill="1" applyBorder="1" applyAlignment="1">
      <alignment horizontal="right" vertical="center" wrapText="1"/>
    </xf>
    <xf numFmtId="0" fontId="3" fillId="0" borderId="4"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5" borderId="13" xfId="0" applyFont="1" applyFill="1" applyBorder="1" applyAlignment="1">
      <alignment horizontal="right" vertical="center" wrapText="1"/>
    </xf>
    <xf numFmtId="178" fontId="3" fillId="0" borderId="4" xfId="0" applyNumberFormat="1" applyFont="1" applyFill="1" applyBorder="1" applyAlignment="1">
      <alignment horizontal="center" vertical="center" wrapText="1"/>
    </xf>
    <xf numFmtId="178" fontId="3" fillId="0" borderId="6" xfId="0" applyNumberFormat="1"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1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60D0CC"/>
      <color rgb="00AFE5E6"/>
      <color rgb="004BC9BE"/>
      <color rgb="003BBFB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altLang="en-US"/>
              <a:t>Performance as perceived by students</a:t>
            </a:r>
            <a:endParaRPr lang="en-GB" altLang="en-US"/>
          </a:p>
          <a:p>
            <a:pPr defTabSz="914400">
              <a:defRPr lang="en-US" sz="1400" b="1" i="0" u="none" strike="noStrike" kern="1200" baseline="0">
                <a:solidFill>
                  <a:schemeClr val="tx1">
                    <a:lumMod val="75000"/>
                    <a:lumOff val="25000"/>
                  </a:schemeClr>
                </a:solidFill>
                <a:latin typeface="+mn-lt"/>
                <a:ea typeface="+mn-ea"/>
                <a:cs typeface="+mn-cs"/>
              </a:defRPr>
            </a:pPr>
            <a:r>
              <a:rPr lang="en-GB" altLang="en-US" sz="1200"/>
              <a:t>(Linkert Scale Rating)</a:t>
            </a:r>
            <a:r>
              <a:rPr lang="en-GB" altLang="en-US"/>
              <a:t> </a:t>
            </a:r>
            <a:endParaRPr lang="en-GB" altLang="en-US"/>
          </a:p>
        </c:rich>
      </c:tx>
      <c:layout/>
      <c:overlay val="0"/>
      <c:spPr>
        <a:noFill/>
        <a:ln>
          <a:noFill/>
        </a:ln>
        <a:effectLst/>
      </c:spPr>
    </c:title>
    <c:autoTitleDeleted val="0"/>
    <c:plotArea>
      <c:layout/>
      <c:barChart>
        <c:barDir val="col"/>
        <c:grouping val="percentStacked"/>
        <c:varyColors val="0"/>
        <c:ser>
          <c:idx val="0"/>
          <c:order val="0"/>
          <c:tx>
            <c:strRef>
              <c:f>Sheet1!$AM$23</c:f>
              <c:strCache>
                <c:ptCount val="1"/>
                <c:pt idx="0">
                  <c:v>Not at all</c:v>
                </c:pt>
              </c:strCache>
            </c:strRef>
          </c:tx>
          <c:spPr>
            <a:gradFill>
              <a:gsLst>
                <a:gs pos="0">
                  <a:srgbClr val="60D0CC"/>
                </a:gs>
                <a:gs pos="90000">
                  <a:srgbClr val="AFE5E6"/>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dLbls>
            <c:delete val="1"/>
          </c:dLbls>
          <c:cat>
            <c:strRef>
              <c:f>Sheet1!$AN$22:$AQ$22</c:f>
              <c:strCache>
                <c:ptCount val="4"/>
                <c:pt idx="0">
                  <c:v>Familiarising</c:v>
                </c:pt>
                <c:pt idx="1">
                  <c:v>Remembering</c:v>
                </c:pt>
                <c:pt idx="2">
                  <c:v>Understanding</c:v>
                </c:pt>
                <c:pt idx="3">
                  <c:v>Applying</c:v>
                </c:pt>
              </c:strCache>
            </c:strRef>
          </c:cat>
          <c:val>
            <c:numRef>
              <c:f>Sheet1!$AN$23:$AQ$23</c:f>
              <c:numCache>
                <c:formatCode>General</c:formatCode>
                <c:ptCount val="4"/>
                <c:pt idx="0">
                  <c:v>0</c:v>
                </c:pt>
                <c:pt idx="1">
                  <c:v>0</c:v>
                </c:pt>
                <c:pt idx="2">
                  <c:v>0</c:v>
                </c:pt>
                <c:pt idx="3">
                  <c:v>0</c:v>
                </c:pt>
              </c:numCache>
            </c:numRef>
          </c:val>
        </c:ser>
        <c:ser>
          <c:idx val="1"/>
          <c:order val="1"/>
          <c:tx>
            <c:strRef>
              <c:f>Sheet1!$AM$24</c:f>
              <c:strCache>
                <c:ptCount val="1"/>
                <c:pt idx="0">
                  <c:v>Slightly</c:v>
                </c:pt>
              </c:strCache>
            </c:strRef>
          </c:tx>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invertIfNegative val="0"/>
          <c:dLbls>
            <c:delete val="1"/>
          </c:dLbls>
          <c:cat>
            <c:strRef>
              <c:f>Sheet1!$AN$22:$AQ$22</c:f>
              <c:strCache>
                <c:ptCount val="4"/>
                <c:pt idx="0">
                  <c:v>Familiarising</c:v>
                </c:pt>
                <c:pt idx="1">
                  <c:v>Remembering</c:v>
                </c:pt>
                <c:pt idx="2">
                  <c:v>Understanding</c:v>
                </c:pt>
                <c:pt idx="3">
                  <c:v>Applying</c:v>
                </c:pt>
              </c:strCache>
            </c:strRef>
          </c:cat>
          <c:val>
            <c:numRef>
              <c:f>Sheet1!$AN$24:$AQ$24</c:f>
              <c:numCache>
                <c:formatCode>General</c:formatCode>
                <c:ptCount val="4"/>
                <c:pt idx="0">
                  <c:v>0</c:v>
                </c:pt>
                <c:pt idx="1">
                  <c:v>1</c:v>
                </c:pt>
                <c:pt idx="2">
                  <c:v>0</c:v>
                </c:pt>
                <c:pt idx="3">
                  <c:v>0</c:v>
                </c:pt>
              </c:numCache>
            </c:numRef>
          </c:val>
        </c:ser>
        <c:ser>
          <c:idx val="2"/>
          <c:order val="2"/>
          <c:tx>
            <c:strRef>
              <c:f>Sheet1!$AM$25</c:f>
              <c:strCache>
                <c:ptCount val="1"/>
                <c:pt idx="0">
                  <c:v>Moderately</c:v>
                </c:pt>
              </c:strCache>
            </c:strRef>
          </c:tx>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a:outerShdw blurRad="76200" dist="25400" dir="2700000" algn="tl" rotWithShape="0">
                <a:schemeClr val="accent3">
                  <a:lumMod val="50000"/>
                  <a:alpha val="30000"/>
                </a:schemeClr>
              </a:outerShdw>
            </a:effectLst>
          </c:spPr>
          <c:invertIfNegative val="0"/>
          <c:dLbls>
            <c:delete val="1"/>
          </c:dLbls>
          <c:cat>
            <c:strRef>
              <c:f>Sheet1!$AN$22:$AQ$22</c:f>
              <c:strCache>
                <c:ptCount val="4"/>
                <c:pt idx="0">
                  <c:v>Familiarising</c:v>
                </c:pt>
                <c:pt idx="1">
                  <c:v>Remembering</c:v>
                </c:pt>
                <c:pt idx="2">
                  <c:v>Understanding</c:v>
                </c:pt>
                <c:pt idx="3">
                  <c:v>Applying</c:v>
                </c:pt>
              </c:strCache>
            </c:strRef>
          </c:cat>
          <c:val>
            <c:numRef>
              <c:f>Sheet1!$AN$25:$AQ$25</c:f>
              <c:numCache>
                <c:formatCode>General</c:formatCode>
                <c:ptCount val="4"/>
                <c:pt idx="0">
                  <c:v>4</c:v>
                </c:pt>
                <c:pt idx="1">
                  <c:v>3</c:v>
                </c:pt>
                <c:pt idx="2">
                  <c:v>2</c:v>
                </c:pt>
                <c:pt idx="3">
                  <c:v>3</c:v>
                </c:pt>
              </c:numCache>
            </c:numRef>
          </c:val>
        </c:ser>
        <c:ser>
          <c:idx val="3"/>
          <c:order val="3"/>
          <c:tx>
            <c:strRef>
              <c:f>Sheet1!$AM$26</c:f>
              <c:strCache>
                <c:ptCount val="1"/>
                <c:pt idx="0">
                  <c:v>Significantly</c:v>
                </c:pt>
              </c:strCache>
            </c:strRef>
          </c:tx>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a:outerShdw blurRad="76200" dist="25400" dir="2700000" algn="tl" rotWithShape="0">
                <a:schemeClr val="accent4">
                  <a:lumMod val="50000"/>
                  <a:alpha val="30000"/>
                </a:schemeClr>
              </a:outerShdw>
            </a:effectLst>
          </c:spPr>
          <c:invertIfNegative val="0"/>
          <c:dLbls>
            <c:delete val="1"/>
          </c:dLbls>
          <c:cat>
            <c:strRef>
              <c:f>Sheet1!$AN$22:$AQ$22</c:f>
              <c:strCache>
                <c:ptCount val="4"/>
                <c:pt idx="0">
                  <c:v>Familiarising</c:v>
                </c:pt>
                <c:pt idx="1">
                  <c:v>Remembering</c:v>
                </c:pt>
                <c:pt idx="2">
                  <c:v>Understanding</c:v>
                </c:pt>
                <c:pt idx="3">
                  <c:v>Applying</c:v>
                </c:pt>
              </c:strCache>
            </c:strRef>
          </c:cat>
          <c:val>
            <c:numRef>
              <c:f>Sheet1!$AN$26:$AQ$26</c:f>
              <c:numCache>
                <c:formatCode>General</c:formatCode>
                <c:ptCount val="4"/>
                <c:pt idx="0">
                  <c:v>7</c:v>
                </c:pt>
                <c:pt idx="1">
                  <c:v>7</c:v>
                </c:pt>
                <c:pt idx="2">
                  <c:v>7</c:v>
                </c:pt>
                <c:pt idx="3">
                  <c:v>8</c:v>
                </c:pt>
              </c:numCache>
            </c:numRef>
          </c:val>
        </c:ser>
        <c:ser>
          <c:idx val="4"/>
          <c:order val="4"/>
          <c:tx>
            <c:strRef>
              <c:f>Sheet1!$AM$27</c:f>
              <c:strCache>
                <c:ptCount val="1"/>
                <c:pt idx="0">
                  <c:v>Very much</c:v>
                </c:pt>
              </c:strCache>
            </c:strRef>
          </c:tx>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a:outerShdw blurRad="76200" dist="25400" dir="2700000" algn="tl" rotWithShape="0">
                <a:schemeClr val="accent5">
                  <a:lumMod val="50000"/>
                  <a:alpha val="30000"/>
                </a:schemeClr>
              </a:outerShdw>
            </a:effectLst>
          </c:spPr>
          <c:invertIfNegative val="0"/>
          <c:dLbls>
            <c:delete val="1"/>
          </c:dLbls>
          <c:cat>
            <c:strRef>
              <c:f>Sheet1!$AN$22:$AQ$22</c:f>
              <c:strCache>
                <c:ptCount val="4"/>
                <c:pt idx="0">
                  <c:v>Familiarising</c:v>
                </c:pt>
                <c:pt idx="1">
                  <c:v>Remembering</c:v>
                </c:pt>
                <c:pt idx="2">
                  <c:v>Understanding</c:v>
                </c:pt>
                <c:pt idx="3">
                  <c:v>Applying</c:v>
                </c:pt>
              </c:strCache>
            </c:strRef>
          </c:cat>
          <c:val>
            <c:numRef>
              <c:f>Sheet1!$AN$27:$AQ$27</c:f>
              <c:numCache>
                <c:formatCode>General</c:formatCode>
                <c:ptCount val="4"/>
                <c:pt idx="0">
                  <c:v>6</c:v>
                </c:pt>
                <c:pt idx="1">
                  <c:v>6</c:v>
                </c:pt>
                <c:pt idx="2">
                  <c:v>8</c:v>
                </c:pt>
                <c:pt idx="3">
                  <c:v>6</c:v>
                </c:pt>
              </c:numCache>
            </c:numRef>
          </c:val>
        </c:ser>
        <c:dLbls>
          <c:showLegendKey val="0"/>
          <c:showVal val="0"/>
          <c:showCatName val="0"/>
          <c:showSerName val="0"/>
          <c:showPercent val="0"/>
          <c:showBubbleSize val="0"/>
        </c:dLbls>
        <c:gapWidth val="246"/>
        <c:overlap val="100"/>
        <c:axId val="284479351"/>
        <c:axId val="652389757"/>
      </c:barChart>
      <c:catAx>
        <c:axId val="284479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52389757"/>
        <c:crosses val="autoZero"/>
        <c:auto val="1"/>
        <c:lblAlgn val="ctr"/>
        <c:lblOffset val="100"/>
        <c:noMultiLvlLbl val="0"/>
      </c:catAx>
      <c:valAx>
        <c:axId val="652389757"/>
        <c:scaling>
          <c:orientation val="minMax"/>
        </c:scaling>
        <c:delete val="0"/>
        <c:axPos val="l"/>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84479351"/>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95bfb4f-6920-4e69-b0b7-a272ecaf61f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2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sz="2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Performance as perc</a:t>
            </a:r>
            <a:r>
              <a:rPr lang="en-GB" altLang="en-US" sz="2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ei</a:t>
            </a:r>
            <a:r>
              <a:rPr sz="2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ved by students</a:t>
            </a:r>
            <a:r>
              <a:rPr lang="en-GB" altLang="en-US" sz="2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 by category</a:t>
            </a:r>
            <a:endParaRPr lang="en-GB" altLang="en-US" sz="2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layout/>
      <c:overlay val="0"/>
      <c:spPr>
        <a:noFill/>
        <a:ln>
          <a:noFill/>
        </a:ln>
        <a:effectLst/>
      </c:spPr>
    </c:title>
    <c:autoTitleDeleted val="0"/>
    <c:plotArea>
      <c:layout/>
      <c:barChart>
        <c:barDir val="col"/>
        <c:grouping val="percentStacked"/>
        <c:varyColors val="0"/>
        <c:ser>
          <c:idx val="0"/>
          <c:order val="0"/>
          <c:tx>
            <c:strRef>
              <c:f>Sheet1!$AM$23</c:f>
              <c:strCache>
                <c:ptCount val="1"/>
                <c:pt idx="0">
                  <c:v>Not at all</c:v>
                </c:pt>
              </c:strCache>
            </c:strRef>
          </c:tx>
          <c:spPr>
            <a:gradFill>
              <a:gsLst>
                <a:gs pos="0">
                  <a:schemeClr val="accent1">
                    <a:lumMod val="40000"/>
                    <a:lumOff val="60000"/>
                  </a:schemeClr>
                </a:gs>
                <a:gs pos="90000">
                  <a:srgbClr val="60D0CC"/>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dLbls>
            <c:dLbl>
              <c:idx val="0"/>
              <c:delete val="1"/>
            </c:dLbl>
            <c:dLbl>
              <c:idx val="1"/>
              <c:delete val="1"/>
            </c:dLbl>
            <c:dLbl>
              <c:idx val="2"/>
              <c:delete val="1"/>
            </c:dLbl>
            <c:dLbl>
              <c:idx val="3"/>
              <c:delete val="1"/>
            </c:dLbl>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Sheet1!$AN$22:$AQ$22</c:f>
              <c:strCache>
                <c:ptCount val="4"/>
                <c:pt idx="0">
                  <c:v>Familiarising</c:v>
                </c:pt>
                <c:pt idx="1">
                  <c:v>Remembering</c:v>
                </c:pt>
                <c:pt idx="2">
                  <c:v>Understanding</c:v>
                </c:pt>
                <c:pt idx="3">
                  <c:v>Applying</c:v>
                </c:pt>
              </c:strCache>
            </c:strRef>
          </c:cat>
          <c:val>
            <c:numRef>
              <c:f>Sheet1!$AN$23:$AQ$23</c:f>
              <c:numCache>
                <c:formatCode>General</c:formatCode>
                <c:ptCount val="4"/>
                <c:pt idx="0">
                  <c:v>0</c:v>
                </c:pt>
                <c:pt idx="1">
                  <c:v>0</c:v>
                </c:pt>
                <c:pt idx="2">
                  <c:v>0</c:v>
                </c:pt>
                <c:pt idx="3">
                  <c:v>0</c:v>
                </c:pt>
              </c:numCache>
            </c:numRef>
          </c:val>
        </c:ser>
        <c:ser>
          <c:idx val="1"/>
          <c:order val="1"/>
          <c:tx>
            <c:strRef>
              <c:f>Sheet1!$AM$24</c:f>
              <c:strCache>
                <c:ptCount val="1"/>
                <c:pt idx="0">
                  <c:v>Slightly</c:v>
                </c:pt>
              </c:strCache>
            </c:strRef>
          </c:tx>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a:outerShdw blurRad="76200" dist="25400" dir="2700000" algn="tl" rotWithShape="0">
                <a:schemeClr val="accent2">
                  <a:lumMod val="50000"/>
                  <a:alpha val="30000"/>
                </a:schemeClr>
              </a:outerShdw>
            </a:effectLst>
          </c:spPr>
          <c:invertIfNegative val="0"/>
          <c:dLbls>
            <c:dLbl>
              <c:idx val="0"/>
              <c:delete val="1"/>
            </c:dLbl>
            <c:dLbl>
              <c:idx val="1"/>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11.76%</a:t>
                    </a:r>
                    <a:endPar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dLbl>
              <c:idx val="2"/>
              <c:delete val="1"/>
            </c:dLbl>
            <c:dLbl>
              <c:idx val="3"/>
              <c:delete val="1"/>
            </c:dLbl>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Sheet1!$AN$22:$AQ$22</c:f>
              <c:strCache>
                <c:ptCount val="4"/>
                <c:pt idx="0">
                  <c:v>Familiarising</c:v>
                </c:pt>
                <c:pt idx="1">
                  <c:v>Remembering</c:v>
                </c:pt>
                <c:pt idx="2">
                  <c:v>Understanding</c:v>
                </c:pt>
                <c:pt idx="3">
                  <c:v>Applying</c:v>
                </c:pt>
              </c:strCache>
            </c:strRef>
          </c:cat>
          <c:val>
            <c:numRef>
              <c:f>Sheet1!$AN$24:$AQ$24</c:f>
              <c:numCache>
                <c:formatCode>General</c:formatCode>
                <c:ptCount val="4"/>
                <c:pt idx="0">
                  <c:v>0</c:v>
                </c:pt>
                <c:pt idx="1">
                  <c:v>1</c:v>
                </c:pt>
                <c:pt idx="2">
                  <c:v>0</c:v>
                </c:pt>
                <c:pt idx="3">
                  <c:v>0</c:v>
                </c:pt>
              </c:numCache>
            </c:numRef>
          </c:val>
        </c:ser>
        <c:ser>
          <c:idx val="2"/>
          <c:order val="2"/>
          <c:tx>
            <c:strRef>
              <c:f>Sheet1!$AM$25</c:f>
              <c:strCache>
                <c:ptCount val="1"/>
                <c:pt idx="0">
                  <c:v>Moderately</c:v>
                </c:pt>
              </c:strCache>
            </c:strRef>
          </c:tx>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a:outerShdw blurRad="76200" dist="25400" dir="2700000" algn="tl" rotWithShape="0">
                <a:schemeClr val="accent3">
                  <a:lumMod val="50000"/>
                  <a:alpha val="30000"/>
                </a:schemeClr>
              </a:outerShdw>
            </a:effectLst>
          </c:spPr>
          <c:invertIfNegative val="0"/>
          <c:dLbls>
            <c:dLbl>
              <c:idx val="0"/>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23.52%</a:t>
                    </a:r>
                    <a:endPar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17.64%</a:t>
                    </a:r>
                    <a:endPar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dLbl>
              <c:idx val="2"/>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11.76%</a:t>
                    </a:r>
                    <a:endPar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dLbl>
              <c:idx val="3"/>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17.64%</a:t>
                    </a:r>
                    <a:endPar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Sheet1!$AN$22:$AQ$22</c:f>
              <c:strCache>
                <c:ptCount val="4"/>
                <c:pt idx="0">
                  <c:v>Familiarising</c:v>
                </c:pt>
                <c:pt idx="1">
                  <c:v>Remembering</c:v>
                </c:pt>
                <c:pt idx="2">
                  <c:v>Understanding</c:v>
                </c:pt>
                <c:pt idx="3">
                  <c:v>Applying</c:v>
                </c:pt>
              </c:strCache>
            </c:strRef>
          </c:cat>
          <c:val>
            <c:numRef>
              <c:f>Sheet1!$AN$25:$AQ$25</c:f>
              <c:numCache>
                <c:formatCode>General</c:formatCode>
                <c:ptCount val="4"/>
                <c:pt idx="0">
                  <c:v>4</c:v>
                </c:pt>
                <c:pt idx="1">
                  <c:v>3</c:v>
                </c:pt>
                <c:pt idx="2">
                  <c:v>2</c:v>
                </c:pt>
                <c:pt idx="3">
                  <c:v>3</c:v>
                </c:pt>
              </c:numCache>
            </c:numRef>
          </c:val>
        </c:ser>
        <c:ser>
          <c:idx val="3"/>
          <c:order val="3"/>
          <c:tx>
            <c:strRef>
              <c:f>Sheet1!$AM$26</c:f>
              <c:strCache>
                <c:ptCount val="1"/>
                <c:pt idx="0">
                  <c:v>Significantly</c:v>
                </c:pt>
              </c:strCache>
            </c:strRef>
          </c:tx>
          <c:spPr>
            <a:gradFill>
              <a:gsLst>
                <a:gs pos="0">
                  <a:schemeClr val="accent4">
                    <a:lumMod val="40000"/>
                    <a:lumOff val="60000"/>
                  </a:schemeClr>
                </a:gs>
                <a:gs pos="90000">
                  <a:schemeClr val="accent4"/>
                </a:gs>
              </a:gsLst>
              <a:lin ang="5400000" scaled="0"/>
            </a:gradFill>
            <a:ln>
              <a:gradFill>
                <a:gsLst>
                  <a:gs pos="0">
                    <a:schemeClr val="accent4"/>
                  </a:gs>
                  <a:gs pos="100000">
                    <a:schemeClr val="accent4">
                      <a:lumMod val="75000"/>
                    </a:schemeClr>
                  </a:gs>
                </a:gsLst>
                <a:lin ang="5400000" scaled="1"/>
              </a:gradFill>
            </a:ln>
            <a:effectLst>
              <a:outerShdw blurRad="76200" dist="25400" dir="2700000" algn="tl" rotWithShape="0">
                <a:schemeClr val="accent4">
                  <a:lumMod val="50000"/>
                  <a:alpha val="30000"/>
                </a:schemeClr>
              </a:outerShdw>
            </a:effectLst>
          </c:spPr>
          <c:invertIfNegative val="0"/>
          <c:dLbls>
            <c:dLbl>
              <c:idx val="0"/>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41.17%</a:t>
                    </a:r>
                    <a:endPar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41.17%</a:t>
                    </a:r>
                    <a:endPar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dLbl>
              <c:idx val="2"/>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41.17%</a:t>
                    </a:r>
                    <a:endPar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dLbl>
              <c:idx val="3"/>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47.05%</a:t>
                    </a:r>
                    <a:endParaRPr lang="en-GB" alt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Sheet1!$AN$22:$AQ$22</c:f>
              <c:strCache>
                <c:ptCount val="4"/>
                <c:pt idx="0">
                  <c:v>Familiarising</c:v>
                </c:pt>
                <c:pt idx="1">
                  <c:v>Remembering</c:v>
                </c:pt>
                <c:pt idx="2">
                  <c:v>Understanding</c:v>
                </c:pt>
                <c:pt idx="3">
                  <c:v>Applying</c:v>
                </c:pt>
              </c:strCache>
            </c:strRef>
          </c:cat>
          <c:val>
            <c:numRef>
              <c:f>Sheet1!$AN$26:$AQ$26</c:f>
              <c:numCache>
                <c:formatCode>General</c:formatCode>
                <c:ptCount val="4"/>
                <c:pt idx="0">
                  <c:v>7</c:v>
                </c:pt>
                <c:pt idx="1">
                  <c:v>7</c:v>
                </c:pt>
                <c:pt idx="2">
                  <c:v>7</c:v>
                </c:pt>
                <c:pt idx="3">
                  <c:v>8</c:v>
                </c:pt>
              </c:numCache>
            </c:numRef>
          </c:val>
        </c:ser>
        <c:ser>
          <c:idx val="4"/>
          <c:order val="4"/>
          <c:tx>
            <c:strRef>
              <c:f>Sheet1!$AM$27</c:f>
              <c:strCache>
                <c:ptCount val="1"/>
                <c:pt idx="0">
                  <c:v>Very much</c:v>
                </c:pt>
              </c:strCache>
            </c:strRef>
          </c:tx>
          <c:spPr>
            <a:gradFill>
              <a:gsLst>
                <a:gs pos="0">
                  <a:schemeClr val="accent5">
                    <a:lumMod val="40000"/>
                    <a:lumOff val="60000"/>
                  </a:schemeClr>
                </a:gs>
                <a:gs pos="90000">
                  <a:schemeClr val="accent5"/>
                </a:gs>
              </a:gsLst>
              <a:lin ang="5400000" scaled="0"/>
            </a:gradFill>
            <a:ln>
              <a:gradFill>
                <a:gsLst>
                  <a:gs pos="0">
                    <a:schemeClr val="accent5"/>
                  </a:gs>
                  <a:gs pos="100000">
                    <a:schemeClr val="accent5">
                      <a:lumMod val="75000"/>
                    </a:schemeClr>
                  </a:gs>
                </a:gsLst>
                <a:lin ang="5400000" scaled="1"/>
              </a:gradFill>
            </a:ln>
            <a:effectLst>
              <a:outerShdw blurRad="76200" dist="25400" dir="2700000" algn="tl" rotWithShape="0">
                <a:schemeClr val="accent5">
                  <a:lumMod val="50000"/>
                  <a:alpha val="30000"/>
                </a:schemeClr>
              </a:outerShdw>
            </a:effectLst>
          </c:spPr>
          <c:invertIfNegative val="0"/>
          <c:dLbls>
            <c:dLbl>
              <c:idx val="0"/>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chemeClr val="bg1"/>
                        </a:solidFill>
                        <a:latin typeface="Times New Roman" panose="02020603050405020304" charset="0"/>
                        <a:ea typeface="Times New Roman" panose="02020603050405020304" charset="0"/>
                        <a:cs typeface="Times New Roman" panose="02020603050405020304" charset="0"/>
                        <a:sym typeface="Times New Roman" panose="02020603050405020304" charset="0"/>
                      </a:rPr>
                      <a:t>35.29%</a:t>
                    </a:r>
                    <a:endParaRPr lang="en-GB" altLang="en-US" sz="1600" b="0">
                      <a:solidFill>
                        <a:schemeClr val="bg1"/>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chemeClr val="bg1"/>
                        </a:solidFill>
                        <a:latin typeface="Times New Roman" panose="02020603050405020304" charset="0"/>
                        <a:ea typeface="Times New Roman" panose="02020603050405020304" charset="0"/>
                        <a:cs typeface="Times New Roman" panose="02020603050405020304" charset="0"/>
                        <a:sym typeface="Times New Roman" panose="02020603050405020304" charset="0"/>
                      </a:rPr>
                      <a:t>35.29%</a:t>
                    </a:r>
                    <a:endParaRPr lang="en-GB" altLang="en-US" sz="1600" b="0">
                      <a:solidFill>
                        <a:schemeClr val="bg1"/>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dLbl>
              <c:idx val="2"/>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chemeClr val="bg1"/>
                        </a:solidFill>
                        <a:latin typeface="Times New Roman" panose="02020603050405020304" charset="0"/>
                        <a:ea typeface="Times New Roman" panose="02020603050405020304" charset="0"/>
                        <a:cs typeface="Times New Roman" panose="02020603050405020304" charset="0"/>
                        <a:sym typeface="Times New Roman" panose="02020603050405020304" charset="0"/>
                      </a:rPr>
                      <a:t>47.05%</a:t>
                    </a:r>
                    <a:endParaRPr lang="en-GB" altLang="en-US" sz="1600" b="0">
                      <a:solidFill>
                        <a:schemeClr val="bg1"/>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dLbl>
              <c:idx val="3"/>
              <c:layout/>
              <c:tx>
                <c:rich>
                  <a:bodyPr rot="0" spcFirstLastPara="0" vertOverflow="ellipsis" vert="horz" wrap="square" lIns="38100" tIns="19050" rIns="38100" bIns="19050" anchor="ctr" anchorCtr="1"/>
                  <a:lstStyle/>
                  <a:p>
                    <a:pPr defTabSz="914400">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GB" altLang="en-US" sz="1600" b="0">
                        <a:solidFill>
                          <a:schemeClr val="bg1"/>
                        </a:solidFill>
                        <a:latin typeface="Times New Roman" panose="02020603050405020304" charset="0"/>
                        <a:ea typeface="Times New Roman" panose="02020603050405020304" charset="0"/>
                        <a:cs typeface="Times New Roman" panose="02020603050405020304" charset="0"/>
                        <a:sym typeface="Times New Roman" panose="02020603050405020304" charset="0"/>
                      </a:rPr>
                      <a:t>35.29%</a:t>
                    </a:r>
                    <a:endParaRPr lang="en-GB" altLang="en-US" sz="1600" b="0">
                      <a:solidFill>
                        <a:schemeClr val="bg1"/>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Sheet1!$AN$22:$AQ$22</c:f>
              <c:strCache>
                <c:ptCount val="4"/>
                <c:pt idx="0">
                  <c:v>Familiarising</c:v>
                </c:pt>
                <c:pt idx="1">
                  <c:v>Remembering</c:v>
                </c:pt>
                <c:pt idx="2">
                  <c:v>Understanding</c:v>
                </c:pt>
                <c:pt idx="3">
                  <c:v>Applying</c:v>
                </c:pt>
              </c:strCache>
            </c:strRef>
          </c:cat>
          <c:val>
            <c:numRef>
              <c:f>Sheet1!$AN$27:$AQ$27</c:f>
              <c:numCache>
                <c:formatCode>General</c:formatCode>
                <c:ptCount val="4"/>
                <c:pt idx="0">
                  <c:v>6</c:v>
                </c:pt>
                <c:pt idx="1">
                  <c:v>6</c:v>
                </c:pt>
                <c:pt idx="2">
                  <c:v>8</c:v>
                </c:pt>
                <c:pt idx="3">
                  <c:v>6</c:v>
                </c:pt>
              </c:numCache>
            </c:numRef>
          </c:val>
        </c:ser>
        <c:dLbls>
          <c:showLegendKey val="0"/>
          <c:showVal val="1"/>
          <c:showCatName val="0"/>
          <c:showSerName val="0"/>
          <c:showPercent val="0"/>
          <c:showBubbleSize val="0"/>
        </c:dLbls>
        <c:gapWidth val="260"/>
        <c:overlap val="100"/>
        <c:axId val="272290824"/>
        <c:axId val="424143111"/>
      </c:barChart>
      <c:catAx>
        <c:axId val="2722908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crossAx val="424143111"/>
        <c:crosses val="autoZero"/>
        <c:auto val="1"/>
        <c:lblAlgn val="ctr"/>
        <c:lblOffset val="100"/>
        <c:noMultiLvlLbl val="0"/>
      </c:catAx>
      <c:valAx>
        <c:axId val="424143111"/>
        <c:scaling>
          <c:orientation val="minMax"/>
        </c:scaling>
        <c:delete val="1"/>
        <c:axPos val="l"/>
        <c:numFmt formatCode="0%" sourceLinked="1"/>
        <c:majorTickMark val="none"/>
        <c:minorTickMark val="none"/>
        <c:tickLblPos val="nextTo"/>
        <c:txPr>
          <a:bodyPr rot="-60000000" spcFirstLastPara="0" vertOverflow="ellipsis" vert="horz" wrap="square" anchor="ctr" anchorCtr="1"/>
          <a:lstStyle/>
          <a:p>
            <a:pPr>
              <a:defRPr lang="en-US" sz="16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crossAx val="272290824"/>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en-US" sz="20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1"/>
        <c:txPr>
          <a:bodyPr rot="0" spcFirstLastPara="0" vertOverflow="ellipsis" vert="horz" wrap="square" anchor="ctr" anchorCtr="1"/>
          <a:lstStyle/>
          <a:p>
            <a:pPr>
              <a:defRPr lang="en-US" sz="20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2"/>
        <c:txPr>
          <a:bodyPr rot="0" spcFirstLastPara="0" vertOverflow="ellipsis" vert="horz" wrap="square" anchor="ctr" anchorCtr="1"/>
          <a:lstStyle/>
          <a:p>
            <a:pPr>
              <a:defRPr lang="en-US" sz="20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3"/>
        <c:txPr>
          <a:bodyPr rot="0" spcFirstLastPara="0" vertOverflow="ellipsis" vert="horz" wrap="square" anchor="ctr" anchorCtr="1"/>
          <a:lstStyle/>
          <a:p>
            <a:pPr>
              <a:defRPr lang="en-US" sz="20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4"/>
        <c:txPr>
          <a:bodyPr rot="0" spcFirstLastPara="0" vertOverflow="ellipsis" vert="horz" wrap="square" anchor="ctr" anchorCtr="1"/>
          <a:lstStyle/>
          <a:p>
            <a:pPr>
              <a:defRPr lang="en-US" sz="20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ayout/>
      <c:overlay val="0"/>
      <c:spPr>
        <a:noFill/>
        <a:ln>
          <a:noFill/>
        </a:ln>
        <a:effectLst/>
      </c:spPr>
      <c:txPr>
        <a:bodyPr rot="0" spcFirstLastPara="0" vertOverflow="ellipsis" vert="horz" wrap="square" anchor="ctr" anchorCtr="1"/>
        <a:lstStyle/>
        <a:p>
          <a:pPr>
            <a:defRPr lang="en-US" sz="2000" b="0" i="0" u="none" strike="noStrike" kern="1200" baseline="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
    <c:plotVisOnly val="1"/>
    <c:dispBlanksAs val="gap"/>
    <c:showDLblsOverMax val="0"/>
    <c:extLst>
      <c:ext uri="{0b15fc19-7d7d-44ad-8c2d-2c3a37ce22c3}">
        <chartProps xmlns="https://web.wps.cn/et/2018/main" chartId="{d309e912-6291-4fc3-9436-416fdd223a81}"/>
      </c:ext>
    </c:extLst>
  </c:chart>
  <c:spPr>
    <a:solidFill>
      <a:schemeClr val="bg1"/>
    </a:solidFill>
    <a:ln w="9525" cap="flat" cmpd="sng" algn="ctr">
      <a:solidFill>
        <a:schemeClr val="tx1">
          <a:lumMod val="15000"/>
          <a:lumOff val="85000"/>
        </a:schemeClr>
      </a:solidFill>
      <a:round/>
    </a:ln>
    <a:effectLst/>
  </c:spPr>
  <c:txPr>
    <a:bodyPr/>
    <a:lstStyle/>
    <a:p>
      <a:pPr>
        <a:defRPr lang="en-US" sz="1600" b="0">
          <a:solidFill>
            <a:sysClr val="windowText" lastClr="000000"/>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ysClr val="windowText" lastClr="000000"/>
                </a:solidFill>
                <a:latin typeface="+mn-lt"/>
                <a:ea typeface="+mn-ea"/>
                <a:cs typeface="+mn-cs"/>
              </a:defRPr>
            </a:pPr>
            <a:r>
              <a:rPr>
                <a:solidFill>
                  <a:sysClr val="windowText" lastClr="000000"/>
                </a:solidFill>
              </a:rPr>
              <a:t>Percentage of improvement per diagram type</a:t>
            </a:r>
            <a:endParaRPr>
              <a:solidFill>
                <a:sysClr val="windowText" lastClr="000000"/>
              </a:solidFill>
            </a:endParaRPr>
          </a:p>
        </c:rich>
      </c:tx>
      <c:layout/>
      <c:overlay val="0"/>
      <c:spPr>
        <a:noFill/>
        <a:ln>
          <a:noFill/>
        </a:ln>
        <a:effectLst/>
      </c:spPr>
    </c:title>
    <c:autoTitleDeleted val="0"/>
    <c:plotArea>
      <c:layout/>
      <c:barChart>
        <c:barDir val="col"/>
        <c:grouping val="clustered"/>
        <c:varyColors val="0"/>
        <c:ser>
          <c:idx val="0"/>
          <c:order val="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a:outerShdw blurRad="76200" dist="25400" dir="2700000" algn="tl" rotWithShape="0">
                <a:schemeClr val="accent1">
                  <a:lumMod val="50000"/>
                  <a:alpha val="30000"/>
                </a:schemeClr>
              </a:outerShdw>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ysClr val="windowText" lastClr="000000"/>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Sheet1!$AI$55:$AI$58</c:f>
              <c:strCache>
                <c:ptCount val="4"/>
                <c:pt idx="0">
                  <c:v>Activity</c:v>
                </c:pt>
                <c:pt idx="1">
                  <c:v>Use Case</c:v>
                </c:pt>
                <c:pt idx="2">
                  <c:v>Sequence</c:v>
                </c:pt>
                <c:pt idx="3">
                  <c:v>Class</c:v>
                </c:pt>
              </c:strCache>
            </c:strRef>
          </c:cat>
          <c:val>
            <c:numRef>
              <c:f>Sheet1!$AJ$55:$AJ$58</c:f>
              <c:numCache>
                <c:formatCode>0%</c:formatCode>
                <c:ptCount val="4"/>
                <c:pt idx="0">
                  <c:v>0.2731</c:v>
                </c:pt>
                <c:pt idx="1">
                  <c:v>0.3021</c:v>
                </c:pt>
                <c:pt idx="2">
                  <c:v>0.2595</c:v>
                </c:pt>
                <c:pt idx="3">
                  <c:v>0.2675</c:v>
                </c:pt>
              </c:numCache>
            </c:numRef>
          </c:val>
        </c:ser>
        <c:dLbls>
          <c:showLegendKey val="0"/>
          <c:showVal val="1"/>
          <c:showCatName val="0"/>
          <c:showSerName val="0"/>
          <c:showPercent val="0"/>
          <c:showBubbleSize val="0"/>
        </c:dLbls>
        <c:gapWidth val="260"/>
        <c:overlap val="-32"/>
        <c:axId val="340647645"/>
        <c:axId val="990918324"/>
      </c:barChart>
      <c:catAx>
        <c:axId val="34064764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ysClr val="windowText" lastClr="000000"/>
                </a:solidFill>
                <a:latin typeface="+mn-lt"/>
                <a:ea typeface="+mn-ea"/>
                <a:cs typeface="+mn-cs"/>
              </a:defRPr>
            </a:pPr>
          </a:p>
        </c:txPr>
        <c:crossAx val="990918324"/>
        <c:crosses val="autoZero"/>
        <c:auto val="1"/>
        <c:lblAlgn val="ctr"/>
        <c:lblOffset val="100"/>
        <c:noMultiLvlLbl val="0"/>
      </c:catAx>
      <c:valAx>
        <c:axId val="990918324"/>
        <c:scaling>
          <c:orientation val="minMax"/>
        </c:scaling>
        <c:delete val="1"/>
        <c:axPos val="l"/>
        <c:numFmt formatCode="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ysClr val="windowText" lastClr="000000"/>
                </a:solidFill>
                <a:latin typeface="+mn-lt"/>
                <a:ea typeface="+mn-ea"/>
                <a:cs typeface="+mn-cs"/>
              </a:defRPr>
            </a:pPr>
          </a:p>
        </c:txPr>
        <c:crossAx val="340647645"/>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en-US" sz="900" b="0" i="0" u="none" strike="noStrike" kern="1200" baseline="0">
                <a:solidFill>
                  <a:sysClr val="windowText" lastClr="000000"/>
                </a:solid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5330b76e-69ad-478d-a701-54b1b8e709d0}"/>
      </c:ext>
    </c:extLst>
  </c:chart>
  <c:spPr>
    <a:solidFill>
      <a:schemeClr val="bg1"/>
    </a:solidFill>
    <a:ln w="9525" cap="flat" cmpd="sng" algn="ctr">
      <a:solidFill>
        <a:schemeClr val="tx1">
          <a:lumMod val="15000"/>
          <a:lumOff val="85000"/>
        </a:schemeClr>
      </a:solidFill>
      <a:round/>
    </a:ln>
    <a:effectLst/>
  </c:spPr>
  <c:txPr>
    <a:bodyPr/>
    <a:lstStyle/>
    <a:p>
      <a:pPr>
        <a:defRPr lang="en-US">
          <a:solidFill>
            <a:sysClr val="windowText" lastClr="000000"/>
          </a:solidFill>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2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34</xdr:col>
      <xdr:colOff>727710</xdr:colOff>
      <xdr:row>28</xdr:row>
      <xdr:rowOff>2540</xdr:rowOff>
    </xdr:from>
    <xdr:to>
      <xdr:col>43</xdr:col>
      <xdr:colOff>596265</xdr:colOff>
      <xdr:row>51</xdr:row>
      <xdr:rowOff>11430</xdr:rowOff>
    </xdr:to>
    <xdr:graphicFrame>
      <xdr:nvGraphicFramePr>
        <xdr:cNvPr id="2" name="Chart 1"/>
        <xdr:cNvGraphicFramePr/>
      </xdr:nvGraphicFramePr>
      <xdr:xfrm>
        <a:off x="23046055" y="5336540"/>
        <a:ext cx="7688580" cy="43903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185420</xdr:colOff>
      <xdr:row>28</xdr:row>
      <xdr:rowOff>10160</xdr:rowOff>
    </xdr:from>
    <xdr:to>
      <xdr:col>58</xdr:col>
      <xdr:colOff>544830</xdr:colOff>
      <xdr:row>56</xdr:row>
      <xdr:rowOff>8255</xdr:rowOff>
    </xdr:to>
    <xdr:graphicFrame>
      <xdr:nvGraphicFramePr>
        <xdr:cNvPr id="5" name="Chart 4"/>
        <xdr:cNvGraphicFramePr/>
      </xdr:nvGraphicFramePr>
      <xdr:xfrm>
        <a:off x="30933390" y="5344160"/>
        <a:ext cx="9141460" cy="53320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273050</xdr:colOff>
      <xdr:row>53</xdr:row>
      <xdr:rowOff>3175</xdr:rowOff>
    </xdr:from>
    <xdr:to>
      <xdr:col>42</xdr:col>
      <xdr:colOff>709295</xdr:colOff>
      <xdr:row>67</xdr:row>
      <xdr:rowOff>79375</xdr:rowOff>
    </xdr:to>
    <xdr:graphicFrame>
      <xdr:nvGraphicFramePr>
        <xdr:cNvPr id="7" name="Chart 6"/>
        <xdr:cNvGraphicFramePr/>
      </xdr:nvGraphicFramePr>
      <xdr:xfrm>
        <a:off x="25163145" y="10099675"/>
        <a:ext cx="482727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0.14633944802512</cdr:x>
      <cdr:y>0.213479895863465</cdr:y>
    </cdr:from>
    <cdr:to>
      <cdr:x>0.196909601718724</cdr:x>
      <cdr:y>0.27032108764825</cdr:y>
    </cdr:to>
    <cdr:sp>
      <cdr:nvSpPr>
        <cdr:cNvPr id="2" name="Rectangles 1"/>
        <cdr:cNvSpPr/>
      </cdr:nvSpPr>
      <cdr:spPr xmlns:a="http://schemas.openxmlformats.org/drawingml/2006/main">
        <a:xfrm xmlns:a="http://schemas.openxmlformats.org/drawingml/2006/main">
          <a:off x="1124585" y="937260"/>
          <a:ext cx="388620" cy="249555"/>
        </a:xfrm>
        <a:prstGeom xmlns:a="http://schemas.openxmlformats.org/drawingml/2006/main" prst="rect">
          <a:avLst/>
        </a:prstGeom>
      </cdr:spPr>
      <cdr:txBody xmlns:a="http://schemas.openxmlformats.org/drawingml/2006/main">
        <a:bodyPr vertOverflow="clip" horzOverflow="clip" wrap="square" rtlCol="0" anchor="t"/>
        <a:p>
          <a:endParaRPr lang="en-US"/>
        </a:p>
      </cdr:txBody>
    </cdr:sp>
  </cdr:relSizeAnchor>
  <cdr:relSizeAnchor xmlns:cdr="http://schemas.openxmlformats.org/drawingml/2006/chartDrawing">
    <cdr:from>
      <cdr:x>0.12654346565012</cdr:x>
      <cdr:y>0.207549898756147</cdr:y>
    </cdr:from>
    <cdr:to>
      <cdr:x>0.216292367614154</cdr:x>
      <cdr:y>0.286664738212323</cdr:y>
    </cdr:to>
    <cdr:sp>
      <cdr:nvSpPr>
        <cdr:cNvPr id="3" name="Rectangles 2"/>
        <cdr:cNvSpPr/>
      </cdr:nvSpPr>
      <cdr:spPr xmlns:a="http://schemas.openxmlformats.org/drawingml/2006/main">
        <a:xfrm xmlns:a="http://schemas.openxmlformats.org/drawingml/2006/main">
          <a:off x="969645" y="911225"/>
          <a:ext cx="687705" cy="347345"/>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solidFill>
                <a:schemeClr val="bg1"/>
              </a:solidFill>
            </a:rPr>
            <a:t>35.29%</a:t>
          </a:r>
          <a:endParaRPr lang="en-GB" altLang="en-US">
            <a:solidFill>
              <a:schemeClr val="bg1"/>
            </a:solidFill>
          </a:endParaRPr>
        </a:p>
      </cdr:txBody>
    </cdr:sp>
  </cdr:relSizeAnchor>
  <cdr:relSizeAnchor xmlns:cdr="http://schemas.openxmlformats.org/drawingml/2006/chartDrawing">
    <cdr:from>
      <cdr:x>0.131349962708212</cdr:x>
      <cdr:y>0.484958056118021</cdr:y>
    </cdr:from>
    <cdr:to>
      <cdr:x>0.215712273141626</cdr:x>
      <cdr:y>0.564217529649986</cdr:y>
    </cdr:to>
    <cdr:sp>
      <cdr:nvSpPr>
        <cdr:cNvPr id="4" name="Rectangles 3"/>
        <cdr:cNvSpPr/>
      </cdr:nvSpPr>
      <cdr:spPr xmlns:a="http://schemas.openxmlformats.org/drawingml/2006/main">
        <a:xfrm xmlns:a="http://schemas.openxmlformats.org/drawingml/2006/main">
          <a:off x="1006475" y="2129155"/>
          <a:ext cx="646430" cy="347980"/>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t>41.17%</a:t>
          </a:r>
          <a:endParaRPr lang="en-GB" altLang="en-US"/>
        </a:p>
      </cdr:txBody>
    </cdr:sp>
  </cdr:relSizeAnchor>
  <cdr:relSizeAnchor xmlns:cdr="http://schemas.openxmlformats.org/drawingml/2006/chartDrawing">
    <cdr:from>
      <cdr:x>0.361647468301981</cdr:x>
      <cdr:y>0.47179635522129</cdr:y>
    </cdr:from>
    <cdr:to>
      <cdr:x>0.456700091157703</cdr:x>
      <cdr:y>0.585044836563494</cdr:y>
    </cdr:to>
    <cdr:sp>
      <cdr:nvSpPr>
        <cdr:cNvPr id="5" name="Rectangles 4"/>
        <cdr:cNvSpPr/>
      </cdr:nvSpPr>
      <cdr:spPr xmlns:a="http://schemas.openxmlformats.org/drawingml/2006/main">
        <a:xfrm xmlns:a="http://schemas.openxmlformats.org/drawingml/2006/main">
          <a:off x="2771140" y="2071370"/>
          <a:ext cx="728345" cy="497205"/>
        </a:xfrm>
        <a:prstGeom xmlns:a="http://schemas.openxmlformats.org/drawingml/2006/main" prst="rect">
          <a:avLst/>
        </a:prstGeom>
      </cdr:spPr>
      <cdr:txBody xmlns:a="http://schemas.openxmlformats.org/drawingml/2006/main">
        <a:bodyPr vertOverflow="clip" horzOverflow="clip" wrap="square" rtlCol="0" anchor="t"/>
        <a:p>
          <a:endParaRPr lang="en-US"/>
        </a:p>
      </cdr:txBody>
    </cdr:sp>
  </cdr:relSizeAnchor>
  <cdr:relSizeAnchor xmlns:cdr="http://schemas.openxmlformats.org/drawingml/2006/chartDrawing">
    <cdr:from>
      <cdr:x>0.361647468301981</cdr:x>
      <cdr:y>0.479317327162279</cdr:y>
    </cdr:from>
    <cdr:to>
      <cdr:x>0.445844037457529</cdr:x>
      <cdr:y>0.569858258605728</cdr:y>
    </cdr:to>
    <cdr:sp>
      <cdr:nvSpPr>
        <cdr:cNvPr id="6" name="Rectangles 5"/>
        <cdr:cNvSpPr/>
      </cdr:nvSpPr>
      <cdr:spPr xmlns:a="http://schemas.openxmlformats.org/drawingml/2006/main">
        <a:xfrm xmlns:a="http://schemas.openxmlformats.org/drawingml/2006/main">
          <a:off x="2771140" y="2104390"/>
          <a:ext cx="645160" cy="397510"/>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t>41.17%</a:t>
          </a:r>
          <a:endParaRPr lang="en-GB" altLang="en-US"/>
        </a:p>
      </cdr:txBody>
    </cdr:sp>
  </cdr:relSizeAnchor>
  <cdr:relSizeAnchor xmlns:cdr="http://schemas.openxmlformats.org/drawingml/2006/chartDrawing">
    <cdr:from>
      <cdr:x>0.591862103256816</cdr:x>
      <cdr:y>0.571738501590975</cdr:y>
    </cdr:from>
    <cdr:to>
      <cdr:x>0.678379050302478</cdr:x>
      <cdr:y>0.656494070002893</cdr:y>
    </cdr:to>
    <cdr:sp>
      <cdr:nvSpPr>
        <cdr:cNvPr id="7" name="Rectangles 6"/>
        <cdr:cNvSpPr/>
      </cdr:nvSpPr>
      <cdr:spPr xmlns:a="http://schemas.openxmlformats.org/drawingml/2006/main">
        <a:xfrm xmlns:a="http://schemas.openxmlformats.org/drawingml/2006/main">
          <a:off x="4535170" y="2510155"/>
          <a:ext cx="662940" cy="372110"/>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t>41.17%</a:t>
          </a:r>
          <a:endParaRPr lang="en-GB" altLang="en-US"/>
        </a:p>
      </cdr:txBody>
    </cdr:sp>
  </cdr:relSizeAnchor>
  <cdr:relSizeAnchor xmlns:cdr="http://schemas.openxmlformats.org/drawingml/2006/chartDrawing">
    <cdr:from>
      <cdr:x>0.827463329742272</cdr:x>
      <cdr:y>0.522562915822968</cdr:y>
    </cdr:from>
    <cdr:to>
      <cdr:x>0.908593685257313</cdr:x>
      <cdr:y>0.599942146369685</cdr:y>
    </cdr:to>
    <cdr:sp>
      <cdr:nvSpPr>
        <cdr:cNvPr id="8" name="Rectangles 7"/>
        <cdr:cNvSpPr/>
      </cdr:nvSpPr>
      <cdr:spPr xmlns:a="http://schemas.openxmlformats.org/drawingml/2006/main">
        <a:xfrm xmlns:a="http://schemas.openxmlformats.org/drawingml/2006/main">
          <a:off x="6340475" y="2294255"/>
          <a:ext cx="621665" cy="339725"/>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t>47.05%</a:t>
          </a:r>
          <a:endParaRPr lang="en-GB" altLang="en-US"/>
        </a:p>
      </cdr:txBody>
    </cdr:sp>
  </cdr:relSizeAnchor>
  <cdr:relSizeAnchor xmlns:cdr="http://schemas.openxmlformats.org/drawingml/2006/chartDrawing">
    <cdr:from>
      <cdr:x>0.363802104914229</cdr:x>
      <cdr:y>0.211310384726642</cdr:y>
    </cdr:from>
    <cdr:to>
      <cdr:x>0.442694953178089</cdr:x>
      <cdr:y>0.275527914376627</cdr:y>
    </cdr:to>
    <cdr:sp>
      <cdr:nvSpPr>
        <cdr:cNvPr id="9" name="Rectangles 8"/>
        <cdr:cNvSpPr/>
      </cdr:nvSpPr>
      <cdr:spPr xmlns:a="http://schemas.openxmlformats.org/drawingml/2006/main">
        <a:xfrm xmlns:a="http://schemas.openxmlformats.org/drawingml/2006/main">
          <a:off x="2787650" y="927735"/>
          <a:ext cx="604520" cy="281940"/>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solidFill>
                <a:schemeClr val="bg1"/>
              </a:solidFill>
            </a:rPr>
            <a:t>35.29%</a:t>
          </a:r>
          <a:endParaRPr lang="en-GB" altLang="en-US">
            <a:solidFill>
              <a:schemeClr val="bg1"/>
            </a:solidFill>
          </a:endParaRPr>
        </a:p>
      </cdr:txBody>
    </cdr:sp>
  </cdr:relSizeAnchor>
  <cdr:relSizeAnchor xmlns:cdr="http://schemas.openxmlformats.org/drawingml/2006/chartDrawing">
    <cdr:from>
      <cdr:x>0.827463329742272</cdr:x>
      <cdr:y>0.196413074920451</cdr:y>
    </cdr:from>
    <cdr:to>
      <cdr:x>0.906521919283998</cdr:x>
      <cdr:y>0.262655481631472</cdr:y>
    </cdr:to>
    <cdr:sp>
      <cdr:nvSpPr>
        <cdr:cNvPr id="10" name="Rectangles 9"/>
        <cdr:cNvSpPr/>
      </cdr:nvSpPr>
      <cdr:spPr xmlns:a="http://schemas.openxmlformats.org/drawingml/2006/main">
        <a:xfrm xmlns:a="http://schemas.openxmlformats.org/drawingml/2006/main">
          <a:off x="6340475" y="862330"/>
          <a:ext cx="605790" cy="290830"/>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solidFill>
                <a:schemeClr val="bg1"/>
              </a:solidFill>
            </a:rPr>
            <a:t>35.29%</a:t>
          </a:r>
          <a:endParaRPr lang="en-GB" altLang="en-US">
            <a:solidFill>
              <a:schemeClr val="bg1"/>
            </a:solidFill>
          </a:endParaRPr>
        </a:p>
      </cdr:txBody>
    </cdr:sp>
  </cdr:relSizeAnchor>
  <cdr:relSizeAnchor xmlns:cdr="http://schemas.openxmlformats.org/drawingml/2006/chartDrawing">
    <cdr:from>
      <cdr:x>0.596171376481312</cdr:x>
      <cdr:y>0.254845241538907</cdr:y>
    </cdr:from>
    <cdr:to>
      <cdr:x>0.675229966023038</cdr:x>
      <cdr:y>0.311541799247903</cdr:y>
    </cdr:to>
    <cdr:sp>
      <cdr:nvSpPr>
        <cdr:cNvPr id="11" name="Rectangles 10"/>
        <cdr:cNvSpPr/>
      </cdr:nvSpPr>
      <cdr:spPr xmlns:a="http://schemas.openxmlformats.org/drawingml/2006/main">
        <a:xfrm xmlns:a="http://schemas.openxmlformats.org/drawingml/2006/main">
          <a:off x="4568190" y="1118870"/>
          <a:ext cx="605790" cy="248920"/>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solidFill>
                <a:schemeClr val="bg1"/>
              </a:solidFill>
            </a:rPr>
            <a:t>47.05%</a:t>
          </a:r>
          <a:endParaRPr lang="en-GB" altLang="en-US">
            <a:solidFill>
              <a:schemeClr val="bg1"/>
            </a:solidFill>
          </a:endParaRPr>
        </a:p>
      </cdr:txBody>
    </cdr:sp>
  </cdr:relSizeAnchor>
  <cdr:relSizeAnchor xmlns:cdr="http://schemas.openxmlformats.org/drawingml/2006/chartDrawing">
    <cdr:from>
      <cdr:x>0.127040689483716</cdr:x>
      <cdr:y>0.734017934625398</cdr:y>
    </cdr:from>
    <cdr:to>
      <cdr:x>0.218944228059998</cdr:x>
      <cdr:y>0.826439109054093</cdr:y>
    </cdr:to>
    <cdr:sp>
      <cdr:nvSpPr>
        <cdr:cNvPr id="12" name="Rectangles 11"/>
        <cdr:cNvSpPr/>
      </cdr:nvSpPr>
      <cdr:spPr xmlns:a="http://schemas.openxmlformats.org/drawingml/2006/main">
        <a:xfrm xmlns:a="http://schemas.openxmlformats.org/drawingml/2006/main">
          <a:off x="973455" y="3222625"/>
          <a:ext cx="704215" cy="405765"/>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t>23.52%</a:t>
          </a:r>
          <a:endParaRPr lang="en-GB" altLang="en-US"/>
        </a:p>
      </cdr:txBody>
    </cdr:sp>
  </cdr:relSizeAnchor>
  <cdr:relSizeAnchor xmlns:cdr="http://schemas.openxmlformats.org/drawingml/2006/chartDrawing">
    <cdr:from>
      <cdr:x>0.360487279356924</cdr:x>
      <cdr:y>0.718975990743419</cdr:y>
    </cdr:from>
    <cdr:to>
      <cdr:x>0.44493246042927</cdr:x>
      <cdr:y>0.786954006363899</cdr:y>
    </cdr:to>
    <cdr:sp>
      <cdr:nvSpPr>
        <cdr:cNvPr id="13" name="Rectangles 12"/>
        <cdr:cNvSpPr/>
      </cdr:nvSpPr>
      <cdr:spPr xmlns:a="http://schemas.openxmlformats.org/drawingml/2006/main">
        <a:xfrm xmlns:a="http://schemas.openxmlformats.org/drawingml/2006/main">
          <a:off x="2762250" y="3156585"/>
          <a:ext cx="647065" cy="298450"/>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t>17.64%</a:t>
          </a:r>
          <a:endParaRPr lang="en-GB" altLang="en-US"/>
        </a:p>
      </cdr:txBody>
    </cdr:sp>
  </cdr:relSizeAnchor>
  <cdr:relSizeAnchor xmlns:cdr="http://schemas.openxmlformats.org/drawingml/2006/chartDrawing">
    <cdr:from>
      <cdr:x>0.592856550924007</cdr:x>
      <cdr:y>0.790569858258606</cdr:y>
    </cdr:from>
    <cdr:to>
      <cdr:x>0.675229966023038</cdr:x>
      <cdr:y>0.85652299681805</cdr:y>
    </cdr:to>
    <cdr:sp>
      <cdr:nvSpPr>
        <cdr:cNvPr id="14" name="Rectangles 13"/>
        <cdr:cNvSpPr/>
      </cdr:nvSpPr>
      <cdr:spPr xmlns:a="http://schemas.openxmlformats.org/drawingml/2006/main">
        <a:xfrm xmlns:a="http://schemas.openxmlformats.org/drawingml/2006/main">
          <a:off x="4542790" y="3470910"/>
          <a:ext cx="631190" cy="289560"/>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t>11.76%</a:t>
          </a:r>
          <a:endParaRPr lang="en-GB" altLang="en-US"/>
        </a:p>
      </cdr:txBody>
    </cdr:sp>
  </cdr:relSizeAnchor>
  <cdr:relSizeAnchor xmlns:cdr="http://schemas.openxmlformats.org/drawingml/2006/chartDrawing">
    <cdr:from>
      <cdr:x>0.827629071020138</cdr:x>
      <cdr:y>0.762366213479896</cdr:y>
    </cdr:from>
    <cdr:to>
      <cdr:x>0.907599237590122</cdr:x>
      <cdr:y>0.836129592131906</cdr:y>
    </cdr:to>
    <cdr:sp>
      <cdr:nvSpPr>
        <cdr:cNvPr id="15" name="Rectangles 14"/>
        <cdr:cNvSpPr/>
      </cdr:nvSpPr>
      <cdr:spPr xmlns:a="http://schemas.openxmlformats.org/drawingml/2006/main">
        <a:xfrm xmlns:a="http://schemas.openxmlformats.org/drawingml/2006/main">
          <a:off x="6341745" y="3347085"/>
          <a:ext cx="612775" cy="323850"/>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t>17.64%</a:t>
          </a:r>
          <a:endParaRPr lang="en-GB" altLang="en-US"/>
        </a:p>
      </cdr:txBody>
    </cdr:sp>
  </cdr:relSizeAnchor>
  <cdr:relSizeAnchor xmlns:cdr="http://schemas.openxmlformats.org/drawingml/2006/chartDrawing">
    <cdr:from>
      <cdr:x>0.362724786608105</cdr:x>
      <cdr:y>0.826439109054093</cdr:y>
    </cdr:from>
    <cdr:to>
      <cdr:x>0.441534764233032</cdr:x>
      <cdr:y>0.86982933179057</cdr:y>
    </cdr:to>
    <cdr:sp>
      <cdr:nvSpPr>
        <cdr:cNvPr id="16" name="Rectangles 15"/>
        <cdr:cNvSpPr/>
      </cdr:nvSpPr>
      <cdr:spPr xmlns:a="http://schemas.openxmlformats.org/drawingml/2006/main">
        <a:xfrm xmlns:a="http://schemas.openxmlformats.org/drawingml/2006/main">
          <a:off x="2779395" y="3628390"/>
          <a:ext cx="603885" cy="190500"/>
        </a:xfrm>
        <a:prstGeom xmlns:a="http://schemas.openxmlformats.org/drawingml/2006/main" prst="rect">
          <a:avLst/>
        </a:prstGeom>
      </cdr:spPr>
      <cdr:txBody xmlns:a="http://schemas.openxmlformats.org/drawingml/2006/main">
        <a:bodyPr vertOverflow="clip" horzOverflow="clip" wrap="square" rtlCol="0" anchor="ctr" anchorCtr="0"/>
        <a:p>
          <a:pPr algn="ctr"/>
          <a:r>
            <a:rPr lang="en-GB" altLang="en-US"/>
            <a:t>11.76%</a:t>
          </a:r>
          <a:endParaRPr lang="en-GB" altLang="en-US"/>
        </a:p>
      </cdr:txBody>
    </cdr:sp>
  </cdr:relSizeAnchor>
</c:userShape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176"/>
  <sheetViews>
    <sheetView tabSelected="1" zoomScale="55" zoomScaleNormal="55" topLeftCell="A81" workbookViewId="0">
      <selection activeCell="V143" sqref="V143"/>
    </sheetView>
  </sheetViews>
  <sheetFormatPr defaultColWidth="9.14285714285714" defaultRowHeight="15"/>
  <cols>
    <col min="3" max="3" width="9.93333333333333" customWidth="1"/>
    <col min="10" max="10" width="12.8571428571429"/>
    <col min="12" max="12" width="12.8571428571429"/>
    <col min="15" max="15" width="17.1333333333333" customWidth="1"/>
    <col min="17" max="17" width="12.8571428571429"/>
    <col min="30" max="30" width="9.74285714285714" customWidth="1"/>
    <col min="31" max="31" width="8.90476190476191" customWidth="1"/>
    <col min="32" max="32" width="9.41904761904762" customWidth="1"/>
    <col min="33" max="33" width="8.74285714285714" customWidth="1"/>
    <col min="34" max="37" width="12.8571428571429"/>
    <col min="39" max="39" width="18.1428571428571" customWidth="1"/>
    <col min="40" max="43" width="12.8571428571429"/>
    <col min="52" max="52" width="12.8571428571429"/>
  </cols>
  <sheetData>
    <row r="1" spans="2:21">
      <c r="B1" s="1" t="s">
        <v>0</v>
      </c>
      <c r="U1" s="1" t="s">
        <v>1</v>
      </c>
    </row>
    <row r="2" spans="2:44">
      <c r="B2" s="2" t="s">
        <v>2</v>
      </c>
      <c r="C2" s="3" t="s">
        <v>3</v>
      </c>
      <c r="D2" s="4" t="s">
        <v>4</v>
      </c>
      <c r="E2" s="5" t="s">
        <v>5</v>
      </c>
      <c r="F2" s="6" t="s">
        <v>6</v>
      </c>
      <c r="G2" s="7" t="s">
        <v>7</v>
      </c>
      <c r="H2" s="8" t="s">
        <v>8</v>
      </c>
      <c r="I2" s="45" t="s">
        <v>9</v>
      </c>
      <c r="J2" s="46" t="s">
        <v>10</v>
      </c>
      <c r="K2" s="47" t="s">
        <v>11</v>
      </c>
      <c r="L2" s="47" t="s">
        <v>12</v>
      </c>
      <c r="M2" s="47" t="s">
        <v>13</v>
      </c>
      <c r="N2" s="48" t="s">
        <v>14</v>
      </c>
      <c r="O2" s="49" t="s">
        <v>15</v>
      </c>
      <c r="P2" s="50" t="s">
        <v>16</v>
      </c>
      <c r="Q2" s="67" t="s">
        <v>17</v>
      </c>
      <c r="R2" s="48" t="s">
        <v>18</v>
      </c>
      <c r="S2" s="68" t="s">
        <v>19</v>
      </c>
      <c r="U2" s="2" t="s">
        <v>2</v>
      </c>
      <c r="V2" s="3" t="s">
        <v>3</v>
      </c>
      <c r="W2" s="4" t="s">
        <v>4</v>
      </c>
      <c r="X2" s="5" t="s">
        <v>5</v>
      </c>
      <c r="Y2" s="6" t="s">
        <v>6</v>
      </c>
      <c r="Z2" s="7" t="s">
        <v>7</v>
      </c>
      <c r="AA2" s="8" t="s">
        <v>8</v>
      </c>
      <c r="AB2" s="45" t="s">
        <v>9</v>
      </c>
      <c r="AC2" s="46" t="s">
        <v>10</v>
      </c>
      <c r="AD2" s="47" t="s">
        <v>11</v>
      </c>
      <c r="AE2" s="47" t="s">
        <v>12</v>
      </c>
      <c r="AF2" s="47" t="s">
        <v>13</v>
      </c>
      <c r="AG2" s="48" t="s">
        <v>14</v>
      </c>
      <c r="AH2" s="90" t="s">
        <v>20</v>
      </c>
      <c r="AI2" s="50" t="s">
        <v>16</v>
      </c>
      <c r="AJ2" s="67" t="s">
        <v>17</v>
      </c>
      <c r="AK2" s="48" t="s">
        <v>18</v>
      </c>
      <c r="AL2" s="68" t="s">
        <v>19</v>
      </c>
      <c r="AM2" s="68" t="s">
        <v>21</v>
      </c>
      <c r="AN2" s="2" t="s">
        <v>22</v>
      </c>
      <c r="AO2" s="3" t="s">
        <v>23</v>
      </c>
      <c r="AP2" s="3" t="s">
        <v>24</v>
      </c>
      <c r="AQ2" s="3" t="s">
        <v>25</v>
      </c>
      <c r="AR2" s="29" t="s">
        <v>26</v>
      </c>
    </row>
    <row r="3" spans="1:52">
      <c r="A3" s="9">
        <v>1821</v>
      </c>
      <c r="B3" s="10" t="s">
        <v>27</v>
      </c>
      <c r="C3" s="11" t="s">
        <v>28</v>
      </c>
      <c r="D3" s="12" t="s">
        <v>29</v>
      </c>
      <c r="E3" s="13" t="s">
        <v>30</v>
      </c>
      <c r="F3" s="14" t="s">
        <v>31</v>
      </c>
      <c r="G3" s="12" t="s">
        <v>32</v>
      </c>
      <c r="H3" s="15" t="s">
        <v>33</v>
      </c>
      <c r="I3" s="14" t="s">
        <v>30</v>
      </c>
      <c r="J3" s="16" t="s">
        <v>34</v>
      </c>
      <c r="K3" s="15" t="s">
        <v>35</v>
      </c>
      <c r="L3" s="15" t="s">
        <v>34</v>
      </c>
      <c r="M3" s="13" t="s">
        <v>36</v>
      </c>
      <c r="N3" s="17" t="s">
        <v>34</v>
      </c>
      <c r="O3" s="51">
        <v>4</v>
      </c>
      <c r="P3" s="52">
        <v>0</v>
      </c>
      <c r="Q3" s="52">
        <v>3</v>
      </c>
      <c r="R3" s="14">
        <v>8</v>
      </c>
      <c r="S3" s="52">
        <f>SUM(R3,Q3,P3,O3)</f>
        <v>15</v>
      </c>
      <c r="T3" s="9">
        <v>1821</v>
      </c>
      <c r="U3" s="10" t="s">
        <v>27</v>
      </c>
      <c r="V3" s="13" t="s">
        <v>28</v>
      </c>
      <c r="W3" s="12" t="s">
        <v>29</v>
      </c>
      <c r="X3" s="13" t="s">
        <v>30</v>
      </c>
      <c r="Y3" s="14" t="s">
        <v>31</v>
      </c>
      <c r="Z3" s="12" t="s">
        <v>32</v>
      </c>
      <c r="AA3" s="15" t="s">
        <v>33</v>
      </c>
      <c r="AB3" s="76" t="s">
        <v>37</v>
      </c>
      <c r="AC3" s="16" t="s">
        <v>34</v>
      </c>
      <c r="AD3" s="15" t="s">
        <v>35</v>
      </c>
      <c r="AE3" s="15" t="s">
        <v>34</v>
      </c>
      <c r="AF3" s="13" t="s">
        <v>36</v>
      </c>
      <c r="AG3" s="17" t="s">
        <v>34</v>
      </c>
      <c r="AH3" s="91">
        <v>8</v>
      </c>
      <c r="AI3" s="52">
        <v>0</v>
      </c>
      <c r="AJ3" s="52">
        <v>6</v>
      </c>
      <c r="AK3" s="14">
        <v>8</v>
      </c>
      <c r="AL3" s="52">
        <f>SUM(AK3,AJ3,AI3,AH3)</f>
        <v>22</v>
      </c>
      <c r="AM3" s="52">
        <f>ABS((S3-AL3)/S3)</f>
        <v>0.466666666666667</v>
      </c>
      <c r="AN3" s="92">
        <v>5</v>
      </c>
      <c r="AO3" s="98">
        <v>5</v>
      </c>
      <c r="AP3" s="98">
        <v>5</v>
      </c>
      <c r="AQ3" s="99">
        <v>4</v>
      </c>
      <c r="AR3" s="14"/>
      <c r="AX3">
        <v>34</v>
      </c>
      <c r="AY3">
        <v>29</v>
      </c>
      <c r="AZ3">
        <f>ABS((AX3-AY3)/AX3)</f>
        <v>0.147058823529412</v>
      </c>
    </row>
    <row r="4" spans="1:52">
      <c r="A4" s="9">
        <v>1776</v>
      </c>
      <c r="B4" s="10" t="s">
        <v>27</v>
      </c>
      <c r="C4" s="11" t="s">
        <v>28</v>
      </c>
      <c r="D4" s="12" t="s">
        <v>29</v>
      </c>
      <c r="E4" s="15" t="s">
        <v>33</v>
      </c>
      <c r="F4" s="14" t="s">
        <v>38</v>
      </c>
      <c r="G4" s="12" t="s">
        <v>32</v>
      </c>
      <c r="H4" s="15" t="s">
        <v>33</v>
      </c>
      <c r="I4" s="14" t="s">
        <v>30</v>
      </c>
      <c r="J4" s="16" t="s">
        <v>34</v>
      </c>
      <c r="K4" s="15" t="s">
        <v>35</v>
      </c>
      <c r="L4" s="15" t="s">
        <v>34</v>
      </c>
      <c r="M4" s="13" t="s">
        <v>36</v>
      </c>
      <c r="N4" s="17" t="s">
        <v>34</v>
      </c>
      <c r="O4" s="51">
        <v>0</v>
      </c>
      <c r="P4" s="52">
        <v>3</v>
      </c>
      <c r="Q4" s="52">
        <v>3</v>
      </c>
      <c r="R4" s="14">
        <v>8</v>
      </c>
      <c r="S4" s="52">
        <f t="shared" ref="S4:S19" si="0">SUM(R4,Q4,P4,O4)</f>
        <v>14</v>
      </c>
      <c r="T4" s="9">
        <v>1776</v>
      </c>
      <c r="U4" s="10" t="s">
        <v>27</v>
      </c>
      <c r="V4" s="13" t="s">
        <v>28</v>
      </c>
      <c r="W4" s="12" t="s">
        <v>29</v>
      </c>
      <c r="X4" s="13" t="s">
        <v>35</v>
      </c>
      <c r="Y4" s="76" t="s">
        <v>39</v>
      </c>
      <c r="Z4" s="77" t="s">
        <v>40</v>
      </c>
      <c r="AA4" s="15" t="s">
        <v>33</v>
      </c>
      <c r="AB4" s="14" t="s">
        <v>30</v>
      </c>
      <c r="AC4" s="70" t="s">
        <v>34</v>
      </c>
      <c r="AD4" s="15" t="s">
        <v>35</v>
      </c>
      <c r="AE4" s="15" t="s">
        <v>34</v>
      </c>
      <c r="AF4" s="13" t="s">
        <v>36</v>
      </c>
      <c r="AG4" s="17" t="s">
        <v>34</v>
      </c>
      <c r="AH4" s="91">
        <v>4</v>
      </c>
      <c r="AI4" s="52">
        <v>3</v>
      </c>
      <c r="AJ4" s="52">
        <v>6</v>
      </c>
      <c r="AK4" s="14">
        <v>8</v>
      </c>
      <c r="AL4" s="52">
        <f t="shared" ref="AL4:AL19" si="1">SUM(AK4,AJ4,AI4,AH4)</f>
        <v>21</v>
      </c>
      <c r="AM4" s="52">
        <f t="shared" ref="AM4:AM19" si="2">ABS((S4-AL4)/S4)</f>
        <v>0.5</v>
      </c>
      <c r="AN4" s="93">
        <v>4</v>
      </c>
      <c r="AO4" s="98">
        <v>5</v>
      </c>
      <c r="AP4" s="98">
        <v>5</v>
      </c>
      <c r="AQ4" s="98">
        <v>5</v>
      </c>
      <c r="AR4" s="14"/>
      <c r="AX4">
        <v>33</v>
      </c>
      <c r="AY4">
        <v>30</v>
      </c>
      <c r="AZ4">
        <f t="shared" ref="AZ4:AZ19" si="3">ABS((AX4-AY4)/AX4)</f>
        <v>0.0909090909090909</v>
      </c>
    </row>
    <row r="5" spans="1:52">
      <c r="A5" s="9">
        <v>1885</v>
      </c>
      <c r="B5" s="10" t="s">
        <v>27</v>
      </c>
      <c r="C5" s="11" t="s">
        <v>28</v>
      </c>
      <c r="D5" s="16" t="s">
        <v>34</v>
      </c>
      <c r="E5" s="13" t="s">
        <v>41</v>
      </c>
      <c r="F5" s="17" t="s">
        <v>42</v>
      </c>
      <c r="G5" s="16" t="s">
        <v>43</v>
      </c>
      <c r="H5" s="15" t="s">
        <v>33</v>
      </c>
      <c r="I5" s="14" t="s">
        <v>32</v>
      </c>
      <c r="J5" s="16" t="s">
        <v>34</v>
      </c>
      <c r="K5" s="15" t="s">
        <v>35</v>
      </c>
      <c r="L5" s="13" t="s">
        <v>29</v>
      </c>
      <c r="M5" s="13" t="s">
        <v>29</v>
      </c>
      <c r="N5" s="17" t="s">
        <v>34</v>
      </c>
      <c r="O5" s="51">
        <v>5</v>
      </c>
      <c r="P5" s="52">
        <v>6</v>
      </c>
      <c r="Q5" s="52">
        <v>6</v>
      </c>
      <c r="R5" s="14">
        <v>6</v>
      </c>
      <c r="S5" s="52">
        <f t="shared" si="0"/>
        <v>23</v>
      </c>
      <c r="T5" s="9">
        <v>1885</v>
      </c>
      <c r="U5" s="10" t="s">
        <v>27</v>
      </c>
      <c r="V5" s="13" t="s">
        <v>28</v>
      </c>
      <c r="W5" s="16" t="s">
        <v>34</v>
      </c>
      <c r="X5" s="15" t="s">
        <v>33</v>
      </c>
      <c r="Y5" s="17" t="s">
        <v>42</v>
      </c>
      <c r="Z5" s="16" t="s">
        <v>43</v>
      </c>
      <c r="AA5" s="15" t="s">
        <v>33</v>
      </c>
      <c r="AB5" s="78" t="s">
        <v>44</v>
      </c>
      <c r="AC5" s="16" t="s">
        <v>34</v>
      </c>
      <c r="AD5" s="15" t="s">
        <v>35</v>
      </c>
      <c r="AE5" s="79" t="s">
        <v>35</v>
      </c>
      <c r="AF5" s="13" t="s">
        <v>29</v>
      </c>
      <c r="AG5" s="17" t="s">
        <v>34</v>
      </c>
      <c r="AH5" s="91">
        <v>7</v>
      </c>
      <c r="AI5" s="52">
        <v>10</v>
      </c>
      <c r="AJ5" s="52">
        <v>6</v>
      </c>
      <c r="AK5" s="14">
        <v>6</v>
      </c>
      <c r="AL5" s="52">
        <f t="shared" si="1"/>
        <v>29</v>
      </c>
      <c r="AM5" s="52">
        <f t="shared" si="2"/>
        <v>0.260869565217391</v>
      </c>
      <c r="AN5" s="12">
        <v>3</v>
      </c>
      <c r="AO5" s="99">
        <v>4</v>
      </c>
      <c r="AP5" s="98">
        <v>5</v>
      </c>
      <c r="AQ5" s="99">
        <v>4</v>
      </c>
      <c r="AR5" s="14"/>
      <c r="AX5">
        <v>31</v>
      </c>
      <c r="AY5">
        <v>24</v>
      </c>
      <c r="AZ5">
        <f t="shared" si="3"/>
        <v>0.225806451612903</v>
      </c>
    </row>
    <row r="6" spans="1:52">
      <c r="A6" s="9">
        <v>1936</v>
      </c>
      <c r="B6" s="10" t="s">
        <v>27</v>
      </c>
      <c r="C6" s="18" t="s">
        <v>45</v>
      </c>
      <c r="D6" s="16" t="s">
        <v>34</v>
      </c>
      <c r="E6" s="13" t="s">
        <v>30</v>
      </c>
      <c r="F6" s="17" t="s">
        <v>42</v>
      </c>
      <c r="G6" s="12" t="s">
        <v>46</v>
      </c>
      <c r="H6" s="15" t="s">
        <v>33</v>
      </c>
      <c r="I6" s="14" t="s">
        <v>43</v>
      </c>
      <c r="J6" s="12" t="s">
        <v>29</v>
      </c>
      <c r="K6" s="15" t="s">
        <v>35</v>
      </c>
      <c r="L6" s="15" t="s">
        <v>34</v>
      </c>
      <c r="M6" s="13" t="s">
        <v>36</v>
      </c>
      <c r="N6" s="17" t="s">
        <v>34</v>
      </c>
      <c r="O6" s="51">
        <v>6</v>
      </c>
      <c r="P6" s="52">
        <v>6</v>
      </c>
      <c r="Q6" s="52">
        <v>3</v>
      </c>
      <c r="R6" s="14">
        <v>6</v>
      </c>
      <c r="S6" s="52">
        <f t="shared" si="0"/>
        <v>21</v>
      </c>
      <c r="T6" s="9">
        <v>1936</v>
      </c>
      <c r="U6" s="10" t="s">
        <v>27</v>
      </c>
      <c r="V6" s="13" t="s">
        <v>45</v>
      </c>
      <c r="W6" s="16" t="s">
        <v>34</v>
      </c>
      <c r="X6" s="69" t="s">
        <v>37</v>
      </c>
      <c r="Y6" s="17" t="s">
        <v>42</v>
      </c>
      <c r="Z6" s="72" t="s">
        <v>43</v>
      </c>
      <c r="AA6" s="15" t="s">
        <v>33</v>
      </c>
      <c r="AB6" s="80" t="s">
        <v>47</v>
      </c>
      <c r="AC6" s="12" t="s">
        <v>29</v>
      </c>
      <c r="AD6" s="15" t="s">
        <v>35</v>
      </c>
      <c r="AE6" s="15" t="s">
        <v>34</v>
      </c>
      <c r="AF6" s="13" t="s">
        <v>36</v>
      </c>
      <c r="AG6" s="17" t="s">
        <v>34</v>
      </c>
      <c r="AH6" s="91">
        <v>6</v>
      </c>
      <c r="AI6" s="52">
        <v>10</v>
      </c>
      <c r="AJ6" s="52">
        <v>10</v>
      </c>
      <c r="AK6" s="14">
        <v>6</v>
      </c>
      <c r="AL6" s="52">
        <f t="shared" si="1"/>
        <v>32</v>
      </c>
      <c r="AM6" s="52">
        <f t="shared" si="2"/>
        <v>0.523809523809524</v>
      </c>
      <c r="AN6" s="93">
        <v>4</v>
      </c>
      <c r="AO6" s="100">
        <v>2</v>
      </c>
      <c r="AP6" s="99">
        <v>4</v>
      </c>
      <c r="AQ6" s="99">
        <v>4</v>
      </c>
      <c r="AR6" s="14"/>
      <c r="AX6">
        <v>61</v>
      </c>
      <c r="AY6">
        <v>46</v>
      </c>
      <c r="AZ6">
        <f t="shared" si="3"/>
        <v>0.245901639344262</v>
      </c>
    </row>
    <row r="7" spans="1:52">
      <c r="A7" s="9">
        <v>1873</v>
      </c>
      <c r="B7" s="10" t="s">
        <v>27</v>
      </c>
      <c r="C7" s="11" t="s">
        <v>28</v>
      </c>
      <c r="D7" s="12" t="s">
        <v>29</v>
      </c>
      <c r="E7" s="13" t="s">
        <v>31</v>
      </c>
      <c r="F7" s="14" t="s">
        <v>31</v>
      </c>
      <c r="G7" s="12" t="s">
        <v>32</v>
      </c>
      <c r="H7" s="15" t="s">
        <v>33</v>
      </c>
      <c r="I7" s="14" t="s">
        <v>42</v>
      </c>
      <c r="J7" s="16" t="s">
        <v>34</v>
      </c>
      <c r="K7" s="15" t="s">
        <v>35</v>
      </c>
      <c r="L7" s="15" t="s">
        <v>34</v>
      </c>
      <c r="M7" s="15" t="s">
        <v>35</v>
      </c>
      <c r="N7" s="17" t="s">
        <v>34</v>
      </c>
      <c r="O7" s="51">
        <v>6</v>
      </c>
      <c r="P7" s="52">
        <v>0</v>
      </c>
      <c r="Q7" s="52">
        <v>3</v>
      </c>
      <c r="R7" s="14">
        <v>10</v>
      </c>
      <c r="S7" s="52">
        <f t="shared" si="0"/>
        <v>19</v>
      </c>
      <c r="T7" s="9">
        <v>1873</v>
      </c>
      <c r="U7" s="10" t="s">
        <v>27</v>
      </c>
      <c r="V7" s="13" t="s">
        <v>28</v>
      </c>
      <c r="W7" s="12" t="s">
        <v>29</v>
      </c>
      <c r="X7" s="13" t="s">
        <v>31</v>
      </c>
      <c r="Y7" s="81" t="s">
        <v>31</v>
      </c>
      <c r="Z7" s="12" t="s">
        <v>32</v>
      </c>
      <c r="AA7" s="15" t="s">
        <v>33</v>
      </c>
      <c r="AB7" s="14" t="s">
        <v>42</v>
      </c>
      <c r="AC7" s="16" t="s">
        <v>34</v>
      </c>
      <c r="AD7" s="15" t="s">
        <v>35</v>
      </c>
      <c r="AE7" s="15" t="s">
        <v>34</v>
      </c>
      <c r="AF7" s="15" t="s">
        <v>35</v>
      </c>
      <c r="AG7" s="17" t="s">
        <v>34</v>
      </c>
      <c r="AH7" s="91">
        <v>6</v>
      </c>
      <c r="AI7" s="52">
        <v>0</v>
      </c>
      <c r="AJ7" s="52">
        <v>3</v>
      </c>
      <c r="AK7" s="14">
        <v>10</v>
      </c>
      <c r="AL7" s="52">
        <f t="shared" si="1"/>
        <v>19</v>
      </c>
      <c r="AM7" s="52">
        <f t="shared" si="2"/>
        <v>0</v>
      </c>
      <c r="AN7" s="93">
        <v>4</v>
      </c>
      <c r="AO7" s="99">
        <v>4</v>
      </c>
      <c r="AP7" s="13">
        <v>3</v>
      </c>
      <c r="AQ7" s="98">
        <v>5</v>
      </c>
      <c r="AR7" s="14"/>
      <c r="AX7">
        <v>33</v>
      </c>
      <c r="AY7">
        <v>27</v>
      </c>
      <c r="AZ7">
        <f t="shared" si="3"/>
        <v>0.181818181818182</v>
      </c>
    </row>
    <row r="8" spans="1:52">
      <c r="A8" s="9">
        <v>1857</v>
      </c>
      <c r="B8" s="10" t="s">
        <v>27</v>
      </c>
      <c r="C8" s="11" t="s">
        <v>28</v>
      </c>
      <c r="D8" s="16" t="s">
        <v>34</v>
      </c>
      <c r="E8" s="13" t="s">
        <v>43</v>
      </c>
      <c r="F8" s="14" t="s">
        <v>30</v>
      </c>
      <c r="G8" s="12" t="s">
        <v>32</v>
      </c>
      <c r="H8" s="15" t="s">
        <v>33</v>
      </c>
      <c r="I8" s="17" t="s">
        <v>33</v>
      </c>
      <c r="J8" s="16" t="s">
        <v>34</v>
      </c>
      <c r="K8" s="15" t="s">
        <v>35</v>
      </c>
      <c r="L8" s="15" t="s">
        <v>34</v>
      </c>
      <c r="M8" s="15" t="s">
        <v>35</v>
      </c>
      <c r="N8" s="17" t="s">
        <v>34</v>
      </c>
      <c r="O8" s="51">
        <v>6</v>
      </c>
      <c r="P8" s="52">
        <v>3</v>
      </c>
      <c r="Q8" s="52">
        <v>6</v>
      </c>
      <c r="R8" s="14">
        <v>10</v>
      </c>
      <c r="S8" s="52">
        <f t="shared" si="0"/>
        <v>25</v>
      </c>
      <c r="T8" s="9">
        <v>1857</v>
      </c>
      <c r="U8" s="10" t="s">
        <v>27</v>
      </c>
      <c r="V8" s="13" t="s">
        <v>28</v>
      </c>
      <c r="W8" s="70" t="s">
        <v>34</v>
      </c>
      <c r="X8" s="71" t="s">
        <v>48</v>
      </c>
      <c r="Y8" s="81" t="s">
        <v>30</v>
      </c>
      <c r="Z8" s="12" t="s">
        <v>32</v>
      </c>
      <c r="AA8" s="15" t="s">
        <v>33</v>
      </c>
      <c r="AB8" s="76" t="s">
        <v>33</v>
      </c>
      <c r="AC8" s="16" t="s">
        <v>34</v>
      </c>
      <c r="AD8" s="15" t="s">
        <v>35</v>
      </c>
      <c r="AE8" s="15" t="s">
        <v>34</v>
      </c>
      <c r="AF8" s="15" t="s">
        <v>35</v>
      </c>
      <c r="AG8" s="17" t="s">
        <v>34</v>
      </c>
      <c r="AH8" s="91">
        <v>6</v>
      </c>
      <c r="AI8" s="52">
        <v>3</v>
      </c>
      <c r="AJ8" s="52">
        <v>6</v>
      </c>
      <c r="AK8" s="14">
        <v>10</v>
      </c>
      <c r="AL8" s="52">
        <f t="shared" si="1"/>
        <v>25</v>
      </c>
      <c r="AM8" s="52">
        <f t="shared" si="2"/>
        <v>0</v>
      </c>
      <c r="AN8" s="92">
        <v>5</v>
      </c>
      <c r="AO8" s="98">
        <v>5</v>
      </c>
      <c r="AP8" s="99">
        <v>4</v>
      </c>
      <c r="AQ8" s="99">
        <v>4</v>
      </c>
      <c r="AR8" s="14"/>
      <c r="AX8">
        <v>45</v>
      </c>
      <c r="AY8">
        <v>34</v>
      </c>
      <c r="AZ8">
        <f t="shared" si="3"/>
        <v>0.244444444444444</v>
      </c>
    </row>
    <row r="9" spans="1:52">
      <c r="A9" s="9">
        <v>1844</v>
      </c>
      <c r="B9" s="10" t="s">
        <v>27</v>
      </c>
      <c r="C9" s="18" t="s">
        <v>45</v>
      </c>
      <c r="D9" s="12" t="s">
        <v>29</v>
      </c>
      <c r="E9" s="13" t="s">
        <v>30</v>
      </c>
      <c r="F9" s="14" t="s">
        <v>33</v>
      </c>
      <c r="G9" s="12" t="s">
        <v>32</v>
      </c>
      <c r="H9" s="15" t="s">
        <v>33</v>
      </c>
      <c r="I9" s="14" t="s">
        <v>49</v>
      </c>
      <c r="J9" s="12" t="s">
        <v>36</v>
      </c>
      <c r="K9" s="15" t="s">
        <v>35</v>
      </c>
      <c r="L9" s="15" t="s">
        <v>34</v>
      </c>
      <c r="M9" s="13" t="s">
        <v>36</v>
      </c>
      <c r="N9" s="17" t="s">
        <v>34</v>
      </c>
      <c r="O9" s="51">
        <v>4</v>
      </c>
      <c r="P9" s="52">
        <v>0</v>
      </c>
      <c r="Q9" s="52">
        <v>3</v>
      </c>
      <c r="R9" s="14">
        <v>6</v>
      </c>
      <c r="S9" s="52">
        <f t="shared" si="0"/>
        <v>13</v>
      </c>
      <c r="T9" s="9">
        <v>1844</v>
      </c>
      <c r="U9" s="10" t="s">
        <v>27</v>
      </c>
      <c r="V9" s="13" t="s">
        <v>45</v>
      </c>
      <c r="W9" s="72" t="s">
        <v>34</v>
      </c>
      <c r="X9" s="71" t="s">
        <v>50</v>
      </c>
      <c r="Y9" s="81" t="s">
        <v>51</v>
      </c>
      <c r="Z9" s="77" t="s">
        <v>40</v>
      </c>
      <c r="AA9" s="15" t="s">
        <v>33</v>
      </c>
      <c r="AB9" s="76" t="s">
        <v>33</v>
      </c>
      <c r="AC9" s="72" t="s">
        <v>34</v>
      </c>
      <c r="AD9" s="15" t="s">
        <v>35</v>
      </c>
      <c r="AE9" s="82" t="s">
        <v>34</v>
      </c>
      <c r="AF9" s="13" t="s">
        <v>36</v>
      </c>
      <c r="AG9" s="17" t="s">
        <v>34</v>
      </c>
      <c r="AH9" s="91">
        <v>4</v>
      </c>
      <c r="AI9" s="52">
        <v>3</v>
      </c>
      <c r="AJ9" s="52">
        <v>10</v>
      </c>
      <c r="AK9" s="14">
        <v>8</v>
      </c>
      <c r="AL9" s="52">
        <f t="shared" si="1"/>
        <v>25</v>
      </c>
      <c r="AM9" s="52">
        <f t="shared" si="2"/>
        <v>0.923076923076923</v>
      </c>
      <c r="AN9" s="93">
        <v>4</v>
      </c>
      <c r="AO9" s="13">
        <v>3</v>
      </c>
      <c r="AP9" s="99">
        <v>4</v>
      </c>
      <c r="AQ9" s="99">
        <v>4</v>
      </c>
      <c r="AR9" s="14"/>
      <c r="AX9">
        <v>62</v>
      </c>
      <c r="AY9">
        <v>47</v>
      </c>
      <c r="AZ9">
        <f t="shared" si="3"/>
        <v>0.241935483870968</v>
      </c>
    </row>
    <row r="10" spans="1:52">
      <c r="A10" s="9">
        <v>1797</v>
      </c>
      <c r="B10" s="10" t="s">
        <v>27</v>
      </c>
      <c r="C10" s="18" t="s">
        <v>45</v>
      </c>
      <c r="D10" s="12" t="s">
        <v>29</v>
      </c>
      <c r="E10" s="13" t="s">
        <v>36</v>
      </c>
      <c r="F10" s="17" t="s">
        <v>42</v>
      </c>
      <c r="G10" s="12" t="s">
        <v>32</v>
      </c>
      <c r="H10" s="15" t="s">
        <v>33</v>
      </c>
      <c r="I10" s="14" t="s">
        <v>29</v>
      </c>
      <c r="J10" s="12" t="s">
        <v>36</v>
      </c>
      <c r="K10" s="15" t="s">
        <v>35</v>
      </c>
      <c r="L10" s="13" t="s">
        <v>35</v>
      </c>
      <c r="M10" s="13" t="s">
        <v>36</v>
      </c>
      <c r="N10" s="17" t="s">
        <v>34</v>
      </c>
      <c r="O10" s="51">
        <v>3</v>
      </c>
      <c r="P10" s="52">
        <v>3</v>
      </c>
      <c r="Q10" s="52">
        <v>3</v>
      </c>
      <c r="R10" s="14">
        <v>4</v>
      </c>
      <c r="S10" s="52">
        <f t="shared" si="0"/>
        <v>13</v>
      </c>
      <c r="T10" s="9">
        <v>1797</v>
      </c>
      <c r="U10" s="10" t="s">
        <v>27</v>
      </c>
      <c r="V10" s="13" t="s">
        <v>45</v>
      </c>
      <c r="W10" s="72" t="s">
        <v>34</v>
      </c>
      <c r="X10" s="73" t="s">
        <v>52</v>
      </c>
      <c r="Y10" s="17" t="s">
        <v>42</v>
      </c>
      <c r="Z10" s="77" t="s">
        <v>40</v>
      </c>
      <c r="AA10" s="15" t="s">
        <v>33</v>
      </c>
      <c r="AB10" s="76" t="s">
        <v>37</v>
      </c>
      <c r="AC10" s="83" t="s">
        <v>35</v>
      </c>
      <c r="AD10" s="15" t="s">
        <v>35</v>
      </c>
      <c r="AE10" s="79" t="s">
        <v>29</v>
      </c>
      <c r="AF10" s="79" t="s">
        <v>29</v>
      </c>
      <c r="AG10" s="17" t="s">
        <v>34</v>
      </c>
      <c r="AH10" s="91">
        <v>10</v>
      </c>
      <c r="AI10" s="52">
        <v>10</v>
      </c>
      <c r="AJ10" s="52">
        <v>10</v>
      </c>
      <c r="AK10" s="14">
        <v>4</v>
      </c>
      <c r="AL10" s="52">
        <f t="shared" si="1"/>
        <v>34</v>
      </c>
      <c r="AM10" s="52">
        <f t="shared" si="2"/>
        <v>1.61538461538462</v>
      </c>
      <c r="AN10" s="93">
        <v>4</v>
      </c>
      <c r="AO10" s="99">
        <v>4</v>
      </c>
      <c r="AP10" s="98">
        <v>5</v>
      </c>
      <c r="AQ10" s="98">
        <v>5</v>
      </c>
      <c r="AR10" s="14"/>
      <c r="AX10">
        <v>53</v>
      </c>
      <c r="AY10">
        <v>42</v>
      </c>
      <c r="AZ10">
        <f t="shared" si="3"/>
        <v>0.207547169811321</v>
      </c>
    </row>
    <row r="11" spans="1:52">
      <c r="A11" s="9">
        <v>1929</v>
      </c>
      <c r="B11" s="10" t="s">
        <v>27</v>
      </c>
      <c r="C11" s="18" t="s">
        <v>45</v>
      </c>
      <c r="D11" s="16" t="s">
        <v>34</v>
      </c>
      <c r="E11" s="13" t="s">
        <v>36</v>
      </c>
      <c r="F11" s="14" t="s">
        <v>49</v>
      </c>
      <c r="G11" s="12" t="s">
        <v>46</v>
      </c>
      <c r="H11" s="15" t="s">
        <v>33</v>
      </c>
      <c r="I11" s="14" t="s">
        <v>43</v>
      </c>
      <c r="J11" s="16" t="s">
        <v>34</v>
      </c>
      <c r="K11" s="15" t="s">
        <v>35</v>
      </c>
      <c r="L11" s="15" t="s">
        <v>34</v>
      </c>
      <c r="M11" s="15" t="s">
        <v>35</v>
      </c>
      <c r="N11" s="17" t="s">
        <v>34</v>
      </c>
      <c r="O11" s="51">
        <v>3</v>
      </c>
      <c r="P11" s="52">
        <v>3</v>
      </c>
      <c r="Q11" s="52">
        <v>3</v>
      </c>
      <c r="R11" s="14">
        <v>10</v>
      </c>
      <c r="S11" s="52">
        <f t="shared" si="0"/>
        <v>19</v>
      </c>
      <c r="T11" s="9">
        <v>1929</v>
      </c>
      <c r="U11" s="10" t="s">
        <v>27</v>
      </c>
      <c r="V11" s="13" t="s">
        <v>45</v>
      </c>
      <c r="W11" s="16" t="s">
        <v>34</v>
      </c>
      <c r="X11" s="74" t="s">
        <v>36</v>
      </c>
      <c r="Y11" s="14" t="s">
        <v>49</v>
      </c>
      <c r="Z11" s="16" t="s">
        <v>43</v>
      </c>
      <c r="AA11" s="15" t="s">
        <v>33</v>
      </c>
      <c r="AB11" s="14" t="s">
        <v>43</v>
      </c>
      <c r="AC11" s="16" t="s">
        <v>34</v>
      </c>
      <c r="AD11" s="15" t="s">
        <v>35</v>
      </c>
      <c r="AE11" s="15" t="s">
        <v>34</v>
      </c>
      <c r="AF11" s="15" t="s">
        <v>35</v>
      </c>
      <c r="AG11" s="17" t="s">
        <v>34</v>
      </c>
      <c r="AH11" s="91">
        <v>3</v>
      </c>
      <c r="AI11" s="52">
        <v>3</v>
      </c>
      <c r="AJ11" s="52">
        <v>6</v>
      </c>
      <c r="AK11" s="14">
        <v>10</v>
      </c>
      <c r="AL11" s="52">
        <f t="shared" si="1"/>
        <v>22</v>
      </c>
      <c r="AM11" s="52">
        <f t="shared" si="2"/>
        <v>0.157894736842105</v>
      </c>
      <c r="AN11" s="12">
        <v>3</v>
      </c>
      <c r="AO11" s="13">
        <v>3</v>
      </c>
      <c r="AP11" s="99">
        <v>4</v>
      </c>
      <c r="AQ11" s="99">
        <v>4</v>
      </c>
      <c r="AR11" s="14"/>
      <c r="AX11">
        <v>45</v>
      </c>
      <c r="AY11">
        <v>31</v>
      </c>
      <c r="AZ11">
        <f t="shared" si="3"/>
        <v>0.311111111111111</v>
      </c>
    </row>
    <row r="12" spans="1:52">
      <c r="A12" s="9">
        <v>1858</v>
      </c>
      <c r="B12" s="10" t="s">
        <v>27</v>
      </c>
      <c r="C12" s="18" t="s">
        <v>45</v>
      </c>
      <c r="D12" s="12" t="s">
        <v>35</v>
      </c>
      <c r="E12" s="13" t="s">
        <v>36</v>
      </c>
      <c r="F12" s="17" t="s">
        <v>42</v>
      </c>
      <c r="G12" s="12" t="s">
        <v>35</v>
      </c>
      <c r="H12" s="13" t="s">
        <v>36</v>
      </c>
      <c r="I12" s="14" t="s">
        <v>32</v>
      </c>
      <c r="J12" s="16" t="s">
        <v>34</v>
      </c>
      <c r="K12" s="15" t="s">
        <v>35</v>
      </c>
      <c r="L12" s="13" t="s">
        <v>29</v>
      </c>
      <c r="M12" s="13" t="s">
        <v>36</v>
      </c>
      <c r="N12" s="17" t="s">
        <v>34</v>
      </c>
      <c r="O12" s="51">
        <v>0</v>
      </c>
      <c r="P12" s="52">
        <v>3</v>
      </c>
      <c r="Q12" s="52">
        <v>0</v>
      </c>
      <c r="R12" s="14">
        <v>6</v>
      </c>
      <c r="S12" s="52">
        <f t="shared" si="0"/>
        <v>9</v>
      </c>
      <c r="T12" s="9">
        <v>1858</v>
      </c>
      <c r="U12" s="10" t="s">
        <v>27</v>
      </c>
      <c r="V12" s="13" t="s">
        <v>45</v>
      </c>
      <c r="W12" s="12" t="s">
        <v>35</v>
      </c>
      <c r="X12" s="71" t="s">
        <v>48</v>
      </c>
      <c r="Y12" s="17" t="s">
        <v>42</v>
      </c>
      <c r="Z12" s="84" t="s">
        <v>53</v>
      </c>
      <c r="AA12" s="71" t="s">
        <v>54</v>
      </c>
      <c r="AB12" s="14" t="s">
        <v>32</v>
      </c>
      <c r="AC12" s="16" t="s">
        <v>34</v>
      </c>
      <c r="AD12" s="15" t="s">
        <v>35</v>
      </c>
      <c r="AE12" s="13" t="s">
        <v>29</v>
      </c>
      <c r="AF12" s="13" t="s">
        <v>36</v>
      </c>
      <c r="AG12" s="17" t="s">
        <v>34</v>
      </c>
      <c r="AH12" s="91">
        <v>3</v>
      </c>
      <c r="AI12" s="52">
        <v>3</v>
      </c>
      <c r="AJ12" s="52">
        <v>0</v>
      </c>
      <c r="AK12" s="14">
        <v>6</v>
      </c>
      <c r="AL12" s="52">
        <f t="shared" si="1"/>
        <v>12</v>
      </c>
      <c r="AM12" s="52">
        <f t="shared" si="2"/>
        <v>0.333333333333333</v>
      </c>
      <c r="AN12" s="93">
        <v>4</v>
      </c>
      <c r="AO12" s="99">
        <v>4</v>
      </c>
      <c r="AP12" s="98">
        <v>5</v>
      </c>
      <c r="AQ12" s="13">
        <v>3</v>
      </c>
      <c r="AR12" s="14"/>
      <c r="AX12">
        <v>55</v>
      </c>
      <c r="AY12">
        <v>39</v>
      </c>
      <c r="AZ12">
        <f t="shared" si="3"/>
        <v>0.290909090909091</v>
      </c>
    </row>
    <row r="13" spans="1:52">
      <c r="A13" s="9">
        <v>1930</v>
      </c>
      <c r="B13" s="10" t="s">
        <v>27</v>
      </c>
      <c r="C13" s="18" t="s">
        <v>45</v>
      </c>
      <c r="D13" s="12" t="s">
        <v>36</v>
      </c>
      <c r="E13" s="13" t="s">
        <v>43</v>
      </c>
      <c r="F13" s="14" t="s">
        <v>30</v>
      </c>
      <c r="G13" s="12" t="s">
        <v>32</v>
      </c>
      <c r="H13" s="15" t="s">
        <v>33</v>
      </c>
      <c r="I13" s="14" t="s">
        <v>43</v>
      </c>
      <c r="J13" s="12" t="s">
        <v>36</v>
      </c>
      <c r="K13" s="15" t="s">
        <v>35</v>
      </c>
      <c r="L13" s="15" t="s">
        <v>34</v>
      </c>
      <c r="M13" s="13" t="s">
        <v>29</v>
      </c>
      <c r="N13" s="17" t="s">
        <v>34</v>
      </c>
      <c r="O13" s="51">
        <v>4</v>
      </c>
      <c r="P13" s="52">
        <v>0</v>
      </c>
      <c r="Q13" s="52">
        <v>3</v>
      </c>
      <c r="R13" s="14">
        <v>6</v>
      </c>
      <c r="S13" s="52">
        <f t="shared" si="0"/>
        <v>13</v>
      </c>
      <c r="T13" s="9">
        <v>1930</v>
      </c>
      <c r="U13" s="10" t="s">
        <v>27</v>
      </c>
      <c r="V13" s="13" t="s">
        <v>45</v>
      </c>
      <c r="W13" s="12" t="s">
        <v>36</v>
      </c>
      <c r="X13" s="13" t="s">
        <v>43</v>
      </c>
      <c r="Y13" s="85" t="s">
        <v>55</v>
      </c>
      <c r="Z13" s="12" t="s">
        <v>32</v>
      </c>
      <c r="AA13" s="15" t="s">
        <v>33</v>
      </c>
      <c r="AB13" s="14" t="s">
        <v>43</v>
      </c>
      <c r="AC13" s="12" t="s">
        <v>36</v>
      </c>
      <c r="AD13" s="15" t="s">
        <v>35</v>
      </c>
      <c r="AE13" s="15" t="s">
        <v>34</v>
      </c>
      <c r="AF13" s="13" t="s">
        <v>29</v>
      </c>
      <c r="AG13" s="17" t="s">
        <v>34</v>
      </c>
      <c r="AH13" s="91">
        <v>4</v>
      </c>
      <c r="AI13" s="52">
        <v>3</v>
      </c>
      <c r="AJ13" s="52">
        <v>3</v>
      </c>
      <c r="AK13" s="14">
        <v>6</v>
      </c>
      <c r="AL13" s="52">
        <f t="shared" si="1"/>
        <v>16</v>
      </c>
      <c r="AM13" s="52">
        <f t="shared" si="2"/>
        <v>0.230769230769231</v>
      </c>
      <c r="AN13" s="12">
        <v>3</v>
      </c>
      <c r="AO13" s="99">
        <v>4</v>
      </c>
      <c r="AP13" s="99">
        <v>4</v>
      </c>
      <c r="AQ13" s="99">
        <v>4</v>
      </c>
      <c r="AR13" s="14"/>
      <c r="AX13">
        <v>59</v>
      </c>
      <c r="AY13">
        <v>47</v>
      </c>
      <c r="AZ13">
        <f t="shared" si="3"/>
        <v>0.203389830508475</v>
      </c>
    </row>
    <row r="14" spans="1:52">
      <c r="A14" s="9">
        <v>1737</v>
      </c>
      <c r="B14" s="10" t="s">
        <v>27</v>
      </c>
      <c r="C14" s="18" t="s">
        <v>45</v>
      </c>
      <c r="D14" s="16" t="s">
        <v>34</v>
      </c>
      <c r="E14" s="13" t="s">
        <v>41</v>
      </c>
      <c r="F14" s="14" t="s">
        <v>38</v>
      </c>
      <c r="G14" s="16" t="s">
        <v>43</v>
      </c>
      <c r="H14" s="15" t="s">
        <v>33</v>
      </c>
      <c r="I14" s="17" t="s">
        <v>33</v>
      </c>
      <c r="J14" s="16" t="s">
        <v>34</v>
      </c>
      <c r="K14" s="15" t="s">
        <v>35</v>
      </c>
      <c r="L14" s="15" t="s">
        <v>34</v>
      </c>
      <c r="M14" s="13" t="s">
        <v>29</v>
      </c>
      <c r="N14" s="17" t="s">
        <v>34</v>
      </c>
      <c r="O14" s="51">
        <v>8</v>
      </c>
      <c r="P14" s="52">
        <v>3</v>
      </c>
      <c r="Q14" s="52">
        <v>10</v>
      </c>
      <c r="R14" s="14">
        <v>8</v>
      </c>
      <c r="S14" s="52">
        <f t="shared" si="0"/>
        <v>29</v>
      </c>
      <c r="T14" s="9">
        <v>1737</v>
      </c>
      <c r="U14" s="10" t="s">
        <v>27</v>
      </c>
      <c r="V14" s="13" t="s">
        <v>45</v>
      </c>
      <c r="W14" s="12" t="s">
        <v>36</v>
      </c>
      <c r="X14" s="13" t="s">
        <v>41</v>
      </c>
      <c r="Y14" s="14" t="s">
        <v>38</v>
      </c>
      <c r="Z14" s="77" t="s">
        <v>43</v>
      </c>
      <c r="AA14" s="15" t="s">
        <v>33</v>
      </c>
      <c r="AB14" s="76" t="s">
        <v>33</v>
      </c>
      <c r="AC14" s="16" t="s">
        <v>34</v>
      </c>
      <c r="AD14" s="15" t="s">
        <v>35</v>
      </c>
      <c r="AE14" s="15" t="s">
        <v>34</v>
      </c>
      <c r="AF14" s="13" t="s">
        <v>36</v>
      </c>
      <c r="AG14" s="17" t="s">
        <v>34</v>
      </c>
      <c r="AH14" s="91">
        <v>8</v>
      </c>
      <c r="AI14" s="52">
        <v>0</v>
      </c>
      <c r="AJ14" s="52">
        <v>10</v>
      </c>
      <c r="AK14" s="14">
        <v>8</v>
      </c>
      <c r="AL14" s="52">
        <f t="shared" si="1"/>
        <v>26</v>
      </c>
      <c r="AM14" s="52">
        <f t="shared" si="2"/>
        <v>0.103448275862069</v>
      </c>
      <c r="AN14" s="93">
        <v>4</v>
      </c>
      <c r="AO14" s="99">
        <v>4</v>
      </c>
      <c r="AP14" s="99">
        <v>4</v>
      </c>
      <c r="AQ14" s="13">
        <v>3</v>
      </c>
      <c r="AR14" s="14"/>
      <c r="AX14">
        <v>69</v>
      </c>
      <c r="AY14">
        <v>55</v>
      </c>
      <c r="AZ14">
        <f t="shared" si="3"/>
        <v>0.202898550724638</v>
      </c>
    </row>
    <row r="15" spans="1:52">
      <c r="A15" s="9">
        <v>1893</v>
      </c>
      <c r="B15" s="10" t="s">
        <v>27</v>
      </c>
      <c r="C15" s="11" t="s">
        <v>28</v>
      </c>
      <c r="D15" s="12" t="s">
        <v>29</v>
      </c>
      <c r="E15" s="15" t="s">
        <v>33</v>
      </c>
      <c r="F15" s="14" t="s">
        <v>34</v>
      </c>
      <c r="G15" s="16" t="s">
        <v>43</v>
      </c>
      <c r="H15" s="13" t="s">
        <v>34</v>
      </c>
      <c r="I15" s="17" t="s">
        <v>33</v>
      </c>
      <c r="J15" s="16" t="s">
        <v>34</v>
      </c>
      <c r="K15" s="15" t="s">
        <v>35</v>
      </c>
      <c r="L15" s="13" t="s">
        <v>29</v>
      </c>
      <c r="M15" s="13" t="s">
        <v>36</v>
      </c>
      <c r="N15" s="17" t="s">
        <v>34</v>
      </c>
      <c r="O15" s="51">
        <v>4</v>
      </c>
      <c r="P15" s="52">
        <v>3</v>
      </c>
      <c r="Q15" s="52">
        <v>6</v>
      </c>
      <c r="R15" s="14">
        <v>6</v>
      </c>
      <c r="S15" s="52">
        <f t="shared" si="0"/>
        <v>19</v>
      </c>
      <c r="T15" s="9">
        <v>1893</v>
      </c>
      <c r="U15" s="10" t="s">
        <v>27</v>
      </c>
      <c r="V15" s="13" t="s">
        <v>28</v>
      </c>
      <c r="W15" s="12" t="s">
        <v>29</v>
      </c>
      <c r="X15" s="15" t="s">
        <v>33</v>
      </c>
      <c r="Y15" s="80" t="s">
        <v>56</v>
      </c>
      <c r="Z15" s="16" t="s">
        <v>43</v>
      </c>
      <c r="AA15" s="82" t="s">
        <v>33</v>
      </c>
      <c r="AB15" s="17" t="s">
        <v>33</v>
      </c>
      <c r="AC15" s="16" t="s">
        <v>34</v>
      </c>
      <c r="AD15" s="15" t="s">
        <v>35</v>
      </c>
      <c r="AE15" s="13" t="s">
        <v>29</v>
      </c>
      <c r="AF15" s="73" t="s">
        <v>35</v>
      </c>
      <c r="AG15" s="17" t="s">
        <v>34</v>
      </c>
      <c r="AH15" s="91">
        <v>4</v>
      </c>
      <c r="AI15" s="52">
        <v>6</v>
      </c>
      <c r="AJ15" s="52">
        <v>10</v>
      </c>
      <c r="AK15" s="14">
        <v>8</v>
      </c>
      <c r="AL15" s="52">
        <f t="shared" si="1"/>
        <v>28</v>
      </c>
      <c r="AM15" s="52">
        <f t="shared" si="2"/>
        <v>0.473684210526316</v>
      </c>
      <c r="AN15" s="12">
        <v>3</v>
      </c>
      <c r="AO15" s="13">
        <v>3</v>
      </c>
      <c r="AP15" s="13">
        <v>3</v>
      </c>
      <c r="AQ15" s="13">
        <v>3</v>
      </c>
      <c r="AR15" s="14"/>
      <c r="AX15">
        <v>52</v>
      </c>
      <c r="AY15">
        <v>43</v>
      </c>
      <c r="AZ15">
        <f t="shared" si="3"/>
        <v>0.173076923076923</v>
      </c>
    </row>
    <row r="16" spans="1:52">
      <c r="A16" s="9">
        <v>1826</v>
      </c>
      <c r="B16" s="10" t="s">
        <v>27</v>
      </c>
      <c r="C16" s="18" t="s">
        <v>45</v>
      </c>
      <c r="D16" s="19" t="s">
        <v>57</v>
      </c>
      <c r="E16" s="13" t="s">
        <v>32</v>
      </c>
      <c r="F16" s="14" t="s">
        <v>57</v>
      </c>
      <c r="G16" s="12" t="s">
        <v>38</v>
      </c>
      <c r="H16" s="15" t="s">
        <v>33</v>
      </c>
      <c r="I16" s="14" t="s">
        <v>42</v>
      </c>
      <c r="J16" s="12" t="s">
        <v>36</v>
      </c>
      <c r="K16" s="15" t="s">
        <v>35</v>
      </c>
      <c r="L16" s="15" t="s">
        <v>34</v>
      </c>
      <c r="M16" s="15" t="s">
        <v>35</v>
      </c>
      <c r="N16" s="17" t="s">
        <v>34</v>
      </c>
      <c r="O16" s="51">
        <v>5</v>
      </c>
      <c r="P16" s="52">
        <v>0</v>
      </c>
      <c r="Q16" s="52">
        <v>3</v>
      </c>
      <c r="R16" s="14">
        <v>8</v>
      </c>
      <c r="S16" s="52">
        <f t="shared" si="0"/>
        <v>16</v>
      </c>
      <c r="T16" s="9">
        <v>1826</v>
      </c>
      <c r="U16" s="10" t="s">
        <v>27</v>
      </c>
      <c r="V16" s="13" t="s">
        <v>45</v>
      </c>
      <c r="W16" s="75" t="s">
        <v>34</v>
      </c>
      <c r="X16" s="73" t="s">
        <v>33</v>
      </c>
      <c r="Y16" s="78" t="s">
        <v>49</v>
      </c>
      <c r="Z16" s="77" t="s">
        <v>40</v>
      </c>
      <c r="AA16" s="15" t="s">
        <v>33</v>
      </c>
      <c r="AB16" s="17" t="s">
        <v>33</v>
      </c>
      <c r="AC16" s="12" t="s">
        <v>36</v>
      </c>
      <c r="AD16" s="15" t="s">
        <v>35</v>
      </c>
      <c r="AE16" s="15" t="s">
        <v>34</v>
      </c>
      <c r="AF16" s="15" t="s">
        <v>35</v>
      </c>
      <c r="AG16" s="17" t="s">
        <v>34</v>
      </c>
      <c r="AH16" s="91">
        <v>7</v>
      </c>
      <c r="AI16" s="52">
        <v>6</v>
      </c>
      <c r="AJ16" s="52">
        <v>10</v>
      </c>
      <c r="AK16" s="14">
        <v>8</v>
      </c>
      <c r="AL16" s="52">
        <f t="shared" si="1"/>
        <v>31</v>
      </c>
      <c r="AM16" s="52">
        <f t="shared" si="2"/>
        <v>0.9375</v>
      </c>
      <c r="AN16" s="92">
        <v>5</v>
      </c>
      <c r="AO16" s="99">
        <v>4</v>
      </c>
      <c r="AP16" s="98">
        <v>5</v>
      </c>
      <c r="AQ16" s="98">
        <v>5</v>
      </c>
      <c r="AR16" s="14"/>
      <c r="AX16">
        <v>60</v>
      </c>
      <c r="AY16">
        <v>44</v>
      </c>
      <c r="AZ16">
        <f t="shared" si="3"/>
        <v>0.266666666666667</v>
      </c>
    </row>
    <row r="17" spans="1:52">
      <c r="A17" s="9">
        <v>1897</v>
      </c>
      <c r="B17" s="10" t="s">
        <v>27</v>
      </c>
      <c r="C17" s="18" t="s">
        <v>45</v>
      </c>
      <c r="D17" s="12" t="s">
        <v>29</v>
      </c>
      <c r="E17" s="13" t="s">
        <v>36</v>
      </c>
      <c r="F17" s="17" t="s">
        <v>42</v>
      </c>
      <c r="G17" s="16" t="s">
        <v>43</v>
      </c>
      <c r="H17" s="15" t="s">
        <v>33</v>
      </c>
      <c r="I17" s="17" t="s">
        <v>33</v>
      </c>
      <c r="J17" s="12" t="s">
        <v>29</v>
      </c>
      <c r="K17" s="15" t="s">
        <v>35</v>
      </c>
      <c r="L17" s="15" t="s">
        <v>34</v>
      </c>
      <c r="M17" s="13" t="s">
        <v>34</v>
      </c>
      <c r="N17" s="17" t="s">
        <v>34</v>
      </c>
      <c r="O17" s="51">
        <v>6</v>
      </c>
      <c r="P17" s="52">
        <v>3</v>
      </c>
      <c r="Q17" s="52">
        <v>10</v>
      </c>
      <c r="R17" s="14">
        <v>6</v>
      </c>
      <c r="S17" s="52">
        <f t="shared" si="0"/>
        <v>25</v>
      </c>
      <c r="T17" s="9">
        <v>1897</v>
      </c>
      <c r="U17" s="10" t="s">
        <v>27</v>
      </c>
      <c r="V17" s="13" t="s">
        <v>45</v>
      </c>
      <c r="W17" s="72" t="s">
        <v>34</v>
      </c>
      <c r="X17" s="73" t="s">
        <v>52</v>
      </c>
      <c r="Y17" s="17" t="s">
        <v>42</v>
      </c>
      <c r="Z17" s="16" t="s">
        <v>43</v>
      </c>
      <c r="AA17" s="15" t="s">
        <v>33</v>
      </c>
      <c r="AB17" s="17" t="s">
        <v>33</v>
      </c>
      <c r="AC17" s="83" t="s">
        <v>35</v>
      </c>
      <c r="AD17" s="15" t="s">
        <v>35</v>
      </c>
      <c r="AE17" s="15" t="s">
        <v>34</v>
      </c>
      <c r="AF17" s="13" t="s">
        <v>34</v>
      </c>
      <c r="AG17" s="17" t="s">
        <v>34</v>
      </c>
      <c r="AH17" s="91">
        <v>9</v>
      </c>
      <c r="AI17" s="52">
        <v>10</v>
      </c>
      <c r="AJ17" s="52">
        <v>10</v>
      </c>
      <c r="AK17" s="14">
        <v>6</v>
      </c>
      <c r="AL17" s="52">
        <f t="shared" si="1"/>
        <v>35</v>
      </c>
      <c r="AM17" s="52">
        <f t="shared" si="2"/>
        <v>0.4</v>
      </c>
      <c r="AN17" s="92">
        <v>5</v>
      </c>
      <c r="AO17" s="98">
        <v>5</v>
      </c>
      <c r="AP17" s="99">
        <v>4</v>
      </c>
      <c r="AQ17" s="99">
        <v>4</v>
      </c>
      <c r="AR17" s="14"/>
      <c r="AX17">
        <v>51</v>
      </c>
      <c r="AY17">
        <v>37</v>
      </c>
      <c r="AZ17">
        <f t="shared" si="3"/>
        <v>0.274509803921569</v>
      </c>
    </row>
    <row r="18" spans="1:52">
      <c r="A18" s="9">
        <v>1900</v>
      </c>
      <c r="B18" s="10" t="s">
        <v>27</v>
      </c>
      <c r="C18" s="11" t="s">
        <v>28</v>
      </c>
      <c r="D18" s="16" t="s">
        <v>34</v>
      </c>
      <c r="E18" s="13" t="s">
        <v>49</v>
      </c>
      <c r="F18" s="14" t="s">
        <v>31</v>
      </c>
      <c r="G18" s="12" t="s">
        <v>32</v>
      </c>
      <c r="H18" s="15" t="s">
        <v>33</v>
      </c>
      <c r="I18" s="14" t="s">
        <v>46</v>
      </c>
      <c r="J18" s="12" t="s">
        <v>36</v>
      </c>
      <c r="K18" s="13" t="s">
        <v>34</v>
      </c>
      <c r="L18" s="13" t="s">
        <v>29</v>
      </c>
      <c r="M18" s="15" t="s">
        <v>35</v>
      </c>
      <c r="N18" s="14" t="s">
        <v>29</v>
      </c>
      <c r="O18" s="51">
        <v>5</v>
      </c>
      <c r="P18" s="52">
        <v>3</v>
      </c>
      <c r="Q18" s="52">
        <v>3</v>
      </c>
      <c r="R18" s="14">
        <v>2</v>
      </c>
      <c r="S18" s="52">
        <f t="shared" si="0"/>
        <v>13</v>
      </c>
      <c r="T18" s="9">
        <v>1900</v>
      </c>
      <c r="U18" s="10" t="s">
        <v>27</v>
      </c>
      <c r="V18" s="13" t="s">
        <v>28</v>
      </c>
      <c r="W18" s="16" t="s">
        <v>34</v>
      </c>
      <c r="X18" s="13" t="s">
        <v>49</v>
      </c>
      <c r="Y18" s="14" t="s">
        <v>31</v>
      </c>
      <c r="Z18" s="12" t="s">
        <v>32</v>
      </c>
      <c r="AA18" s="15" t="s">
        <v>33</v>
      </c>
      <c r="AB18" s="14" t="s">
        <v>46</v>
      </c>
      <c r="AC18" s="12" t="s">
        <v>36</v>
      </c>
      <c r="AD18" s="73" t="s">
        <v>35</v>
      </c>
      <c r="AE18" s="13" t="s">
        <v>29</v>
      </c>
      <c r="AF18" s="15" t="s">
        <v>35</v>
      </c>
      <c r="AG18" s="80" t="s">
        <v>34</v>
      </c>
      <c r="AH18" s="91">
        <v>7</v>
      </c>
      <c r="AI18" s="52">
        <v>3</v>
      </c>
      <c r="AJ18" s="52">
        <v>3</v>
      </c>
      <c r="AK18" s="14">
        <v>6</v>
      </c>
      <c r="AL18" s="52">
        <f t="shared" si="1"/>
        <v>19</v>
      </c>
      <c r="AM18" s="52">
        <f t="shared" si="2"/>
        <v>0.461538461538462</v>
      </c>
      <c r="AN18" s="92">
        <v>5</v>
      </c>
      <c r="AO18" s="98">
        <v>5</v>
      </c>
      <c r="AP18" s="98">
        <v>5</v>
      </c>
      <c r="AQ18" s="98">
        <v>5</v>
      </c>
      <c r="AR18" s="14"/>
      <c r="AX18">
        <v>66</v>
      </c>
      <c r="AY18">
        <v>47</v>
      </c>
      <c r="AZ18">
        <f t="shared" si="3"/>
        <v>0.287878787878788</v>
      </c>
    </row>
    <row r="19" spans="1:52">
      <c r="A19" s="9">
        <v>1775</v>
      </c>
      <c r="B19" s="20" t="s">
        <v>27</v>
      </c>
      <c r="C19" s="21" t="s">
        <v>45</v>
      </c>
      <c r="D19" s="22" t="s">
        <v>29</v>
      </c>
      <c r="E19" s="23" t="s">
        <v>36</v>
      </c>
      <c r="F19" s="24" t="s">
        <v>30</v>
      </c>
      <c r="G19" s="22" t="s">
        <v>34</v>
      </c>
      <c r="H19" s="25" t="s">
        <v>33</v>
      </c>
      <c r="I19" s="24" t="s">
        <v>30</v>
      </c>
      <c r="J19" s="22" t="s">
        <v>30</v>
      </c>
      <c r="K19" s="23" t="s">
        <v>34</v>
      </c>
      <c r="L19" s="25" t="s">
        <v>34</v>
      </c>
      <c r="M19" s="23" t="s">
        <v>29</v>
      </c>
      <c r="N19" s="53" t="s">
        <v>34</v>
      </c>
      <c r="O19" s="54">
        <v>2</v>
      </c>
      <c r="P19" s="55">
        <v>0</v>
      </c>
      <c r="Q19" s="55">
        <v>3</v>
      </c>
      <c r="R19" s="24">
        <v>4</v>
      </c>
      <c r="S19" s="55">
        <f t="shared" si="0"/>
        <v>9</v>
      </c>
      <c r="T19" s="9">
        <v>1775</v>
      </c>
      <c r="U19" s="20" t="s">
        <v>27</v>
      </c>
      <c r="V19" s="23" t="s">
        <v>45</v>
      </c>
      <c r="W19" s="22" t="s">
        <v>29</v>
      </c>
      <c r="X19" s="23" t="s">
        <v>36</v>
      </c>
      <c r="Y19" s="86" t="s">
        <v>39</v>
      </c>
      <c r="Z19" s="87" t="s">
        <v>58</v>
      </c>
      <c r="AA19" s="25" t="s">
        <v>33</v>
      </c>
      <c r="AB19" s="86" t="s">
        <v>37</v>
      </c>
      <c r="AC19" s="88" t="s">
        <v>34</v>
      </c>
      <c r="AD19" s="23" t="s">
        <v>34</v>
      </c>
      <c r="AE19" s="25" t="s">
        <v>34</v>
      </c>
      <c r="AF19" s="23" t="s">
        <v>29</v>
      </c>
      <c r="AG19" s="53" t="s">
        <v>34</v>
      </c>
      <c r="AH19" s="94">
        <v>3</v>
      </c>
      <c r="AI19" s="55">
        <v>3</v>
      </c>
      <c r="AJ19" s="55">
        <v>6</v>
      </c>
      <c r="AK19" s="24">
        <v>6</v>
      </c>
      <c r="AL19" s="55">
        <f t="shared" si="1"/>
        <v>18</v>
      </c>
      <c r="AM19" s="55">
        <f t="shared" si="2"/>
        <v>1</v>
      </c>
      <c r="AN19" s="95">
        <v>5</v>
      </c>
      <c r="AO19" s="101">
        <v>5</v>
      </c>
      <c r="AP19" s="101">
        <v>5</v>
      </c>
      <c r="AQ19" s="101">
        <v>5</v>
      </c>
      <c r="AR19" s="24"/>
      <c r="AX19">
        <v>53</v>
      </c>
      <c r="AY19">
        <v>24</v>
      </c>
      <c r="AZ19">
        <f t="shared" si="3"/>
        <v>0.547169811320755</v>
      </c>
    </row>
    <row r="20" spans="3:44">
      <c r="C20" t="s">
        <v>59</v>
      </c>
      <c r="D20" s="9" t="s">
        <v>60</v>
      </c>
      <c r="E20" s="9" t="s">
        <v>2</v>
      </c>
      <c r="F20" s="9" t="s">
        <v>60</v>
      </c>
      <c r="G20" s="9" t="s">
        <v>61</v>
      </c>
      <c r="H20" s="9" t="s">
        <v>22</v>
      </c>
      <c r="I20" s="9" t="s">
        <v>61</v>
      </c>
      <c r="J20" s="9" t="s">
        <v>62</v>
      </c>
      <c r="K20" s="9" t="s">
        <v>22</v>
      </c>
      <c r="L20" s="9" t="s">
        <v>63</v>
      </c>
      <c r="M20" s="9" t="s">
        <v>61</v>
      </c>
      <c r="N20" s="9" t="s">
        <v>23</v>
      </c>
      <c r="O20" s="9" t="s">
        <v>64</v>
      </c>
      <c r="W20" s="9" t="s">
        <v>62</v>
      </c>
      <c r="X20" s="9" t="s">
        <v>65</v>
      </c>
      <c r="Y20" s="9" t="s">
        <v>62</v>
      </c>
      <c r="Z20" s="9" t="s">
        <v>66</v>
      </c>
      <c r="AA20" s="9" t="s">
        <v>23</v>
      </c>
      <c r="AB20" s="9" t="s">
        <v>66</v>
      </c>
      <c r="AC20" s="9" t="s">
        <v>67</v>
      </c>
      <c r="AD20" s="9" t="s">
        <v>23</v>
      </c>
      <c r="AE20" s="9" t="s">
        <v>63</v>
      </c>
      <c r="AF20" s="9" t="s">
        <v>65</v>
      </c>
      <c r="AG20" s="9" t="s">
        <v>24</v>
      </c>
      <c r="AH20" s="9" t="s">
        <v>64</v>
      </c>
      <c r="AN20" s="10">
        <f>AVERAGE(AN3:AN19)</f>
        <v>4.11764705882353</v>
      </c>
      <c r="AO20">
        <f>AVERAGE(AO3:AO19)</f>
        <v>4.05882352941176</v>
      </c>
      <c r="AP20">
        <f>AVERAGE(AP3:AP19)</f>
        <v>4.35294117647059</v>
      </c>
      <c r="AQ20">
        <f>AVERAGE(AQ3:AQ19)</f>
        <v>4.17647058823529</v>
      </c>
      <c r="AR20" t="s">
        <v>68</v>
      </c>
    </row>
    <row r="21" spans="3:37">
      <c r="C21" t="s">
        <v>69</v>
      </c>
      <c r="E21" t="s">
        <v>70</v>
      </c>
      <c r="O21">
        <v>71</v>
      </c>
      <c r="P21">
        <v>39</v>
      </c>
      <c r="Q21">
        <v>71</v>
      </c>
      <c r="R21">
        <v>114</v>
      </c>
      <c r="AH21">
        <v>99</v>
      </c>
      <c r="AI21">
        <v>76</v>
      </c>
      <c r="AJ21">
        <v>115</v>
      </c>
      <c r="AK21">
        <v>124</v>
      </c>
    </row>
    <row r="22" spans="23:43">
      <c r="W22" t="s">
        <v>71</v>
      </c>
      <c r="AH22">
        <f>ABS((O21-AH21)/O21)</f>
        <v>0.394366197183099</v>
      </c>
      <c r="AI22">
        <f>ABS((P21-AI21)/P21)</f>
        <v>0.948717948717949</v>
      </c>
      <c r="AJ22">
        <f>ABS((Q21-AJ21)/Q21)</f>
        <v>0.619718309859155</v>
      </c>
      <c r="AK22">
        <f>ABS((R21-AK21)/R21)</f>
        <v>0.087719298245614</v>
      </c>
      <c r="AN22" t="s">
        <v>72</v>
      </c>
      <c r="AO22" t="s">
        <v>73</v>
      </c>
      <c r="AP22" t="s">
        <v>74</v>
      </c>
      <c r="AQ22" t="s">
        <v>75</v>
      </c>
    </row>
    <row r="23" spans="2:48">
      <c r="B23" t="s">
        <v>76</v>
      </c>
      <c r="AM23" t="s">
        <v>77</v>
      </c>
      <c r="AN23" s="96">
        <v>0</v>
      </c>
      <c r="AO23" s="96">
        <v>0</v>
      </c>
      <c r="AP23" s="96">
        <v>0</v>
      </c>
      <c r="AQ23" s="96">
        <v>0</v>
      </c>
      <c r="AS23" s="97">
        <v>0</v>
      </c>
      <c r="AT23" s="97">
        <v>0</v>
      </c>
      <c r="AU23" s="97">
        <v>0</v>
      </c>
      <c r="AV23" s="97">
        <v>0</v>
      </c>
    </row>
    <row r="24" spans="2:48">
      <c r="B24" s="26" t="s">
        <v>78</v>
      </c>
      <c r="C24" s="26" t="s">
        <v>79</v>
      </c>
      <c r="V24" s="26" t="s">
        <v>78</v>
      </c>
      <c r="W24" s="26" t="s">
        <v>79</v>
      </c>
      <c r="AM24" t="s">
        <v>80</v>
      </c>
      <c r="AN24" s="96">
        <v>0</v>
      </c>
      <c r="AO24">
        <v>1</v>
      </c>
      <c r="AP24" s="96">
        <v>0</v>
      </c>
      <c r="AQ24" s="96">
        <v>0</v>
      </c>
      <c r="AS24" s="97">
        <v>0</v>
      </c>
      <c r="AT24" s="102">
        <v>0.0588</v>
      </c>
      <c r="AU24" s="97">
        <v>0</v>
      </c>
      <c r="AV24" s="97">
        <v>0</v>
      </c>
    </row>
    <row r="25" spans="2:48">
      <c r="B25" s="27" t="s">
        <v>81</v>
      </c>
      <c r="C25" s="28"/>
      <c r="D25" s="27" t="s">
        <v>82</v>
      </c>
      <c r="E25" s="28"/>
      <c r="F25" s="27" t="s">
        <v>83</v>
      </c>
      <c r="G25" s="28"/>
      <c r="H25" s="27" t="s">
        <v>84</v>
      </c>
      <c r="I25" s="28"/>
      <c r="J25" s="27" t="s">
        <v>85</v>
      </c>
      <c r="K25" s="28"/>
      <c r="V25" s="27" t="s">
        <v>81</v>
      </c>
      <c r="W25" s="28"/>
      <c r="X25" s="27" t="s">
        <v>82</v>
      </c>
      <c r="Y25" s="28"/>
      <c r="Z25" s="27" t="s">
        <v>83</v>
      </c>
      <c r="AA25" s="28"/>
      <c r="AB25" s="27" t="s">
        <v>84</v>
      </c>
      <c r="AC25" s="28"/>
      <c r="AD25" s="27" t="s">
        <v>85</v>
      </c>
      <c r="AE25" s="28"/>
      <c r="AM25" t="s">
        <v>86</v>
      </c>
      <c r="AN25">
        <v>4</v>
      </c>
      <c r="AO25">
        <v>3</v>
      </c>
      <c r="AP25">
        <v>2</v>
      </c>
      <c r="AQ25">
        <v>3</v>
      </c>
      <c r="AS25" s="102">
        <v>0.2352</v>
      </c>
      <c r="AT25" s="102">
        <v>0.1764</v>
      </c>
      <c r="AU25" s="102">
        <v>0.1176</v>
      </c>
      <c r="AV25" s="102">
        <v>0.1764</v>
      </c>
    </row>
    <row r="26" spans="2:48">
      <c r="B26" s="2" t="s">
        <v>87</v>
      </c>
      <c r="C26" s="29" t="s">
        <v>88</v>
      </c>
      <c r="D26" s="2" t="s">
        <v>87</v>
      </c>
      <c r="E26" s="29" t="s">
        <v>88</v>
      </c>
      <c r="F26" s="2" t="s">
        <v>87</v>
      </c>
      <c r="G26" s="29" t="s">
        <v>88</v>
      </c>
      <c r="H26" s="2" t="s">
        <v>87</v>
      </c>
      <c r="I26" s="29" t="s">
        <v>88</v>
      </c>
      <c r="J26" s="3" t="s">
        <v>87</v>
      </c>
      <c r="K26" s="29" t="s">
        <v>88</v>
      </c>
      <c r="L26" s="50" t="s">
        <v>89</v>
      </c>
      <c r="M26" s="6" t="s">
        <v>90</v>
      </c>
      <c r="V26" s="2" t="s">
        <v>87</v>
      </c>
      <c r="W26" s="29" t="s">
        <v>88</v>
      </c>
      <c r="X26" s="2" t="s">
        <v>87</v>
      </c>
      <c r="Y26" s="29" t="s">
        <v>88</v>
      </c>
      <c r="Z26" s="2" t="s">
        <v>87</v>
      </c>
      <c r="AA26" s="29" t="s">
        <v>88</v>
      </c>
      <c r="AB26" s="2" t="s">
        <v>87</v>
      </c>
      <c r="AC26" s="29" t="s">
        <v>88</v>
      </c>
      <c r="AD26" s="3" t="s">
        <v>87</v>
      </c>
      <c r="AE26" s="29" t="s">
        <v>88</v>
      </c>
      <c r="AF26" s="50" t="s">
        <v>89</v>
      </c>
      <c r="AG26" s="6" t="s">
        <v>90</v>
      </c>
      <c r="AM26" t="s">
        <v>91</v>
      </c>
      <c r="AN26">
        <v>7</v>
      </c>
      <c r="AO26">
        <v>7</v>
      </c>
      <c r="AP26">
        <v>7</v>
      </c>
      <c r="AQ26">
        <v>8</v>
      </c>
      <c r="AS26" s="102">
        <v>0.4117</v>
      </c>
      <c r="AT26" s="102">
        <v>0.4117</v>
      </c>
      <c r="AU26" s="102">
        <v>0.4117</v>
      </c>
      <c r="AV26" s="102">
        <v>0.4705</v>
      </c>
    </row>
    <row r="27" spans="1:48">
      <c r="A27" s="30">
        <v>1821</v>
      </c>
      <c r="B27" s="31">
        <v>0.0118055555555556</v>
      </c>
      <c r="C27" s="32">
        <v>16</v>
      </c>
      <c r="D27" s="33">
        <v>0.0118055555555556</v>
      </c>
      <c r="E27" s="32">
        <v>16</v>
      </c>
      <c r="F27" s="33">
        <v>0.11875</v>
      </c>
      <c r="G27" s="32">
        <v>27</v>
      </c>
      <c r="H27" s="33">
        <v>0.0743055555555556</v>
      </c>
      <c r="I27" s="32">
        <v>27</v>
      </c>
      <c r="J27" s="33">
        <v>0.134027777777778</v>
      </c>
      <c r="K27" s="32">
        <v>27</v>
      </c>
      <c r="L27" s="56">
        <f>SUM(B27,D27)</f>
        <v>0.0236111111111112</v>
      </c>
      <c r="M27" s="57">
        <f t="shared" ref="M27:M43" si="4">SUM(F27,H27,J27)</f>
        <v>0.327083333333334</v>
      </c>
      <c r="U27" s="30"/>
      <c r="V27" s="42">
        <v>0.0111111111111111</v>
      </c>
      <c r="W27" s="32">
        <v>16</v>
      </c>
      <c r="X27" s="33">
        <v>0.00902777777777778</v>
      </c>
      <c r="Y27" s="32">
        <v>16</v>
      </c>
      <c r="Z27" s="33">
        <v>0.0486111111111111</v>
      </c>
      <c r="AA27" s="32">
        <v>27</v>
      </c>
      <c r="AB27" s="33">
        <v>0.0493055555555556</v>
      </c>
      <c r="AC27" s="32">
        <v>27</v>
      </c>
      <c r="AD27" s="33">
        <v>0.125694444444444</v>
      </c>
      <c r="AE27" s="32">
        <v>27</v>
      </c>
      <c r="AF27" s="64">
        <f t="shared" ref="AF27:AF43" si="5">SUM(V27,X27)</f>
        <v>0.0201388888888889</v>
      </c>
      <c r="AG27" s="57">
        <f t="shared" ref="AG27:AG43" si="6">SUM(Z27,AB27,AD27)</f>
        <v>0.223611111111111</v>
      </c>
      <c r="AM27" t="s">
        <v>92</v>
      </c>
      <c r="AN27">
        <v>6</v>
      </c>
      <c r="AO27">
        <v>6</v>
      </c>
      <c r="AP27">
        <v>8</v>
      </c>
      <c r="AQ27">
        <v>6</v>
      </c>
      <c r="AS27" s="102">
        <v>0.3529</v>
      </c>
      <c r="AT27" s="102">
        <v>0.3529</v>
      </c>
      <c r="AU27" s="102">
        <v>0.4705</v>
      </c>
      <c r="AV27" s="102">
        <v>0.3529</v>
      </c>
    </row>
    <row r="28" spans="1:33">
      <c r="A28" s="34">
        <v>1776</v>
      </c>
      <c r="B28" s="35">
        <v>0.0125</v>
      </c>
      <c r="C28" s="14"/>
      <c r="D28" s="36">
        <v>0.0104166666666667</v>
      </c>
      <c r="E28" s="14"/>
      <c r="F28" s="36">
        <v>0.0833333333333333</v>
      </c>
      <c r="G28" s="14">
        <v>27</v>
      </c>
      <c r="H28" s="36">
        <v>0.0763888888888889</v>
      </c>
      <c r="I28" s="14">
        <v>22</v>
      </c>
      <c r="J28" s="36">
        <v>0.125</v>
      </c>
      <c r="K28" s="14">
        <v>22</v>
      </c>
      <c r="L28" s="58">
        <f t="shared" ref="L27:L43" si="7">SUM(B28,D28)</f>
        <v>0.0229166666666667</v>
      </c>
      <c r="M28" s="59">
        <f t="shared" si="4"/>
        <v>0.284722222222222</v>
      </c>
      <c r="U28" s="34"/>
      <c r="V28" s="43">
        <v>0.0118055555555556</v>
      </c>
      <c r="W28" s="14"/>
      <c r="X28" s="36">
        <v>0.00902777777777778</v>
      </c>
      <c r="Y28" s="14"/>
      <c r="Z28" s="36">
        <v>0.0347222222222222</v>
      </c>
      <c r="AA28" s="14">
        <v>27</v>
      </c>
      <c r="AB28" s="36">
        <v>0.0548611111111111</v>
      </c>
      <c r="AC28" s="14">
        <v>22</v>
      </c>
      <c r="AD28" s="36">
        <v>0.0798611111111111</v>
      </c>
      <c r="AE28" s="14">
        <v>22</v>
      </c>
      <c r="AF28" s="65">
        <f t="shared" si="5"/>
        <v>0.0208333333333334</v>
      </c>
      <c r="AG28" s="59">
        <f t="shared" si="6"/>
        <v>0.169444444444444</v>
      </c>
    </row>
    <row r="29" spans="1:33">
      <c r="A29" s="34">
        <v>1885</v>
      </c>
      <c r="B29" s="35">
        <v>0.0118055555555556</v>
      </c>
      <c r="C29" s="14"/>
      <c r="D29" s="36">
        <v>0.00972222222222222</v>
      </c>
      <c r="E29" s="14"/>
      <c r="F29" s="36">
        <v>0.0833333333333333</v>
      </c>
      <c r="G29" s="14">
        <v>22</v>
      </c>
      <c r="H29" s="36">
        <v>0.145138888888889</v>
      </c>
      <c r="I29" s="14">
        <v>22</v>
      </c>
      <c r="J29" s="36">
        <v>0.107638888888889</v>
      </c>
      <c r="K29" s="14">
        <v>22</v>
      </c>
      <c r="L29" s="58">
        <f t="shared" si="7"/>
        <v>0.0215277777777778</v>
      </c>
      <c r="M29" s="59">
        <f t="shared" si="4"/>
        <v>0.336111111111111</v>
      </c>
      <c r="U29" s="34"/>
      <c r="V29" s="43">
        <v>0.00902777777777778</v>
      </c>
      <c r="W29" s="14"/>
      <c r="X29" s="36">
        <v>0.00763888888888889</v>
      </c>
      <c r="Y29" s="14"/>
      <c r="Z29" s="36">
        <v>0.0555555555555556</v>
      </c>
      <c r="AA29" s="14">
        <v>27</v>
      </c>
      <c r="AB29" s="36">
        <v>0.0819444444444444</v>
      </c>
      <c r="AC29" s="14">
        <v>27</v>
      </c>
      <c r="AD29" s="36">
        <v>0.0791666666666667</v>
      </c>
      <c r="AE29" s="14">
        <v>22</v>
      </c>
      <c r="AF29" s="65">
        <f t="shared" si="5"/>
        <v>0.0166666666666667</v>
      </c>
      <c r="AG29" s="59">
        <f t="shared" si="6"/>
        <v>0.216666666666667</v>
      </c>
    </row>
    <row r="30" spans="1:33">
      <c r="A30" s="34">
        <v>1936</v>
      </c>
      <c r="B30" s="35">
        <v>0.0201388888888889</v>
      </c>
      <c r="C30" s="14"/>
      <c r="D30" s="36">
        <v>0.0222222222222222</v>
      </c>
      <c r="E30" s="14"/>
      <c r="F30" s="36">
        <v>0.159722222222222</v>
      </c>
      <c r="G30" s="14">
        <v>22</v>
      </c>
      <c r="H30" s="36">
        <v>0.119444444444444</v>
      </c>
      <c r="I30" s="14">
        <v>22</v>
      </c>
      <c r="J30" s="36">
        <v>0.104166666666667</v>
      </c>
      <c r="K30" s="14">
        <v>22</v>
      </c>
      <c r="L30" s="58">
        <f t="shared" si="7"/>
        <v>0.0423611111111111</v>
      </c>
      <c r="M30" s="59">
        <f t="shared" si="4"/>
        <v>0.383333333333333</v>
      </c>
      <c r="U30" s="34"/>
      <c r="V30" s="43">
        <v>0.0125</v>
      </c>
      <c r="W30" s="14"/>
      <c r="X30" s="36">
        <v>0.0194444444444444</v>
      </c>
      <c r="Y30" s="14"/>
      <c r="Z30" s="36">
        <v>0.0916666666666667</v>
      </c>
      <c r="AA30" s="14">
        <v>22</v>
      </c>
      <c r="AB30" s="36">
        <v>0.0770833333333333</v>
      </c>
      <c r="AC30" s="14">
        <v>27</v>
      </c>
      <c r="AD30" s="36">
        <v>0.0805555555555556</v>
      </c>
      <c r="AE30" s="14">
        <v>27</v>
      </c>
      <c r="AF30" s="65">
        <f t="shared" si="5"/>
        <v>0.0319444444444444</v>
      </c>
      <c r="AG30" s="59">
        <f t="shared" si="6"/>
        <v>0.249305555555556</v>
      </c>
    </row>
    <row r="31" spans="1:33">
      <c r="A31" s="34">
        <v>1873</v>
      </c>
      <c r="B31" s="35">
        <v>0.0111111111111111</v>
      </c>
      <c r="C31" s="14"/>
      <c r="D31" s="36">
        <v>0.0118055555555556</v>
      </c>
      <c r="E31" s="14"/>
      <c r="F31" s="36">
        <v>0.0840277777777778</v>
      </c>
      <c r="G31" s="14">
        <v>22</v>
      </c>
      <c r="H31" s="36">
        <v>0.127777777777778</v>
      </c>
      <c r="I31" s="14">
        <v>22</v>
      </c>
      <c r="J31" s="36">
        <v>0.217361111111111</v>
      </c>
      <c r="K31" s="14">
        <v>22</v>
      </c>
      <c r="L31" s="58">
        <f t="shared" si="7"/>
        <v>0.0229166666666667</v>
      </c>
      <c r="M31" s="59">
        <f t="shared" si="4"/>
        <v>0.429166666666667</v>
      </c>
      <c r="U31" s="34"/>
      <c r="V31" s="43">
        <v>0.0104166666666667</v>
      </c>
      <c r="W31" s="14"/>
      <c r="X31" s="36">
        <v>0.00833333333333333</v>
      </c>
      <c r="Y31" s="14"/>
      <c r="Z31" s="36">
        <v>0.0645833333333333</v>
      </c>
      <c r="AA31" s="14">
        <v>27</v>
      </c>
      <c r="AB31" s="36">
        <v>0.0833333333333333</v>
      </c>
      <c r="AC31" s="14">
        <v>27</v>
      </c>
      <c r="AD31" s="36">
        <v>0.165277777777778</v>
      </c>
      <c r="AE31" s="14">
        <v>22</v>
      </c>
      <c r="AF31" s="65">
        <f t="shared" si="5"/>
        <v>0.01875</v>
      </c>
      <c r="AG31" s="59">
        <f t="shared" si="6"/>
        <v>0.313194444444445</v>
      </c>
    </row>
    <row r="32" spans="1:33">
      <c r="A32" s="34">
        <v>1857</v>
      </c>
      <c r="B32" s="35">
        <v>0.0118055555555556</v>
      </c>
      <c r="C32" s="14"/>
      <c r="D32" s="36">
        <v>0.0194444444444444</v>
      </c>
      <c r="E32" s="14"/>
      <c r="F32" s="36">
        <v>0.111805555555556</v>
      </c>
      <c r="G32" s="14">
        <v>22</v>
      </c>
      <c r="H32" s="36">
        <v>0.147222222222222</v>
      </c>
      <c r="I32" s="14">
        <v>22</v>
      </c>
      <c r="J32" s="36">
        <v>0.195138888888889</v>
      </c>
      <c r="K32" s="14">
        <v>12</v>
      </c>
      <c r="L32" s="58">
        <f t="shared" si="7"/>
        <v>0.03125</v>
      </c>
      <c r="M32" s="59">
        <f t="shared" si="4"/>
        <v>0.454166666666667</v>
      </c>
      <c r="U32" s="34"/>
      <c r="V32" s="43">
        <v>0.0104166666666667</v>
      </c>
      <c r="W32" s="14"/>
      <c r="X32" s="36">
        <v>0.0131944444444444</v>
      </c>
      <c r="Y32" s="14"/>
      <c r="Z32" s="36">
        <v>0.0819444444444444</v>
      </c>
      <c r="AA32" s="14">
        <v>27</v>
      </c>
      <c r="AB32" s="36">
        <v>0.0833333333333333</v>
      </c>
      <c r="AC32" s="14">
        <v>27</v>
      </c>
      <c r="AD32" s="36">
        <v>0.166666666666667</v>
      </c>
      <c r="AE32" s="14">
        <v>22</v>
      </c>
      <c r="AF32" s="65">
        <f t="shared" si="5"/>
        <v>0.0236111111111111</v>
      </c>
      <c r="AG32" s="59">
        <f t="shared" si="6"/>
        <v>0.331944444444445</v>
      </c>
    </row>
    <row r="33" spans="1:33">
      <c r="A33" s="34">
        <v>1844</v>
      </c>
      <c r="B33" s="35">
        <v>0.0229166666666667</v>
      </c>
      <c r="C33" s="14"/>
      <c r="D33" s="36">
        <v>0.0201388888888889</v>
      </c>
      <c r="E33" s="14"/>
      <c r="F33" s="36">
        <v>0.0902777777777778</v>
      </c>
      <c r="G33" s="14">
        <v>12</v>
      </c>
      <c r="H33" s="36">
        <v>0.111111111111111</v>
      </c>
      <c r="I33" s="14">
        <v>17</v>
      </c>
      <c r="J33" s="36">
        <v>0.227083333333333</v>
      </c>
      <c r="K33" s="14">
        <v>17</v>
      </c>
      <c r="L33" s="58">
        <f t="shared" si="7"/>
        <v>0.0430555555555556</v>
      </c>
      <c r="M33" s="59">
        <f t="shared" si="4"/>
        <v>0.428472222222222</v>
      </c>
      <c r="U33" s="34"/>
      <c r="V33" s="43">
        <v>0.01875</v>
      </c>
      <c r="W33" s="14"/>
      <c r="X33" s="36">
        <v>0.0138888888888889</v>
      </c>
      <c r="Y33" s="14"/>
      <c r="Z33" s="36">
        <v>0.0743055555555556</v>
      </c>
      <c r="AA33" s="14">
        <v>22</v>
      </c>
      <c r="AB33" s="36">
        <v>0.0458333333333333</v>
      </c>
      <c r="AC33" s="14">
        <v>27</v>
      </c>
      <c r="AD33" s="36">
        <v>0.163194444444444</v>
      </c>
      <c r="AE33" s="14">
        <v>22</v>
      </c>
      <c r="AF33" s="65">
        <f t="shared" si="5"/>
        <v>0.0326388888888889</v>
      </c>
      <c r="AG33" s="59">
        <f t="shared" si="6"/>
        <v>0.283333333333333</v>
      </c>
    </row>
    <row r="34" spans="1:33">
      <c r="A34" s="34">
        <v>1797</v>
      </c>
      <c r="B34" s="35">
        <v>0.01875</v>
      </c>
      <c r="C34" s="14"/>
      <c r="D34" s="36">
        <v>0.0180555555555556</v>
      </c>
      <c r="E34" s="14"/>
      <c r="F34" s="36">
        <v>0.0930555555555556</v>
      </c>
      <c r="G34" s="14">
        <v>17</v>
      </c>
      <c r="H34" s="36">
        <v>0.104166666666667</v>
      </c>
      <c r="I34" s="14">
        <v>17</v>
      </c>
      <c r="J34" s="36">
        <v>0.256944444444444</v>
      </c>
      <c r="K34" s="14">
        <v>12</v>
      </c>
      <c r="L34" s="58">
        <f t="shared" si="7"/>
        <v>0.0368055555555556</v>
      </c>
      <c r="M34" s="59">
        <f t="shared" si="4"/>
        <v>0.454166666666667</v>
      </c>
      <c r="U34" s="34"/>
      <c r="V34" s="43">
        <v>0.0125</v>
      </c>
      <c r="W34" s="14"/>
      <c r="X34" s="36">
        <v>0.0166666666666667</v>
      </c>
      <c r="Y34" s="14"/>
      <c r="Z34" s="36">
        <v>0.0722222222222222</v>
      </c>
      <c r="AA34" s="14">
        <v>27</v>
      </c>
      <c r="AB34" s="36">
        <v>0.0798611111111111</v>
      </c>
      <c r="AC34" s="14">
        <v>27</v>
      </c>
      <c r="AD34" s="36">
        <v>0.209027777777778</v>
      </c>
      <c r="AE34" s="14">
        <v>22</v>
      </c>
      <c r="AF34" s="65">
        <f t="shared" si="5"/>
        <v>0.0291666666666667</v>
      </c>
      <c r="AG34" s="59">
        <f t="shared" si="6"/>
        <v>0.361111111111111</v>
      </c>
    </row>
    <row r="35" spans="1:33">
      <c r="A35" s="34">
        <v>1929</v>
      </c>
      <c r="B35" s="35">
        <v>0.0152777777777778</v>
      </c>
      <c r="C35" s="14"/>
      <c r="D35" s="36">
        <v>0.0159722222222222</v>
      </c>
      <c r="E35" s="14"/>
      <c r="F35" s="36">
        <v>0.140277777777778</v>
      </c>
      <c r="G35" s="14">
        <v>22</v>
      </c>
      <c r="H35" s="36">
        <v>0.0701388888888889</v>
      </c>
      <c r="I35" s="14">
        <v>22</v>
      </c>
      <c r="J35" s="36">
        <v>0.0951388888888889</v>
      </c>
      <c r="K35" s="14">
        <v>22</v>
      </c>
      <c r="L35" s="58">
        <f t="shared" si="7"/>
        <v>0.03125</v>
      </c>
      <c r="M35" s="59">
        <f t="shared" si="4"/>
        <v>0.305555555555556</v>
      </c>
      <c r="U35" s="34"/>
      <c r="V35" s="43">
        <v>0.0104166666666667</v>
      </c>
      <c r="W35" s="14"/>
      <c r="X35" s="36">
        <v>0.0111111111111111</v>
      </c>
      <c r="Y35" s="14"/>
      <c r="Z35" s="36">
        <v>0.113194444444444</v>
      </c>
      <c r="AA35" s="14">
        <v>27</v>
      </c>
      <c r="AB35" s="36">
        <v>0.04375</v>
      </c>
      <c r="AC35" s="14">
        <v>22</v>
      </c>
      <c r="AD35" s="36">
        <v>0.0729166666666667</v>
      </c>
      <c r="AE35" s="14">
        <v>27</v>
      </c>
      <c r="AF35" s="65">
        <f t="shared" si="5"/>
        <v>0.0215277777777778</v>
      </c>
      <c r="AG35" s="59">
        <f t="shared" si="6"/>
        <v>0.229861111111111</v>
      </c>
    </row>
    <row r="36" spans="1:33">
      <c r="A36" s="34">
        <v>1858</v>
      </c>
      <c r="B36" s="35">
        <v>0.01875</v>
      </c>
      <c r="C36" s="14"/>
      <c r="D36" s="36">
        <v>0.0194444444444444</v>
      </c>
      <c r="E36" s="14"/>
      <c r="F36" s="36">
        <v>0.0972222222222222</v>
      </c>
      <c r="G36" s="14">
        <v>22</v>
      </c>
      <c r="H36" s="36">
        <v>0.186111111111111</v>
      </c>
      <c r="I36" s="14">
        <v>22</v>
      </c>
      <c r="J36" s="36">
        <v>0.254861111111111</v>
      </c>
      <c r="K36" s="14">
        <v>22</v>
      </c>
      <c r="L36" s="58">
        <f t="shared" si="7"/>
        <v>0.0381944444444444</v>
      </c>
      <c r="M36" s="59">
        <f t="shared" si="4"/>
        <v>0.538194444444444</v>
      </c>
      <c r="U36" s="34"/>
      <c r="V36" s="43">
        <v>0.0131944444444444</v>
      </c>
      <c r="W36" s="14"/>
      <c r="X36" s="36">
        <v>0.0138888888888889</v>
      </c>
      <c r="Y36" s="14"/>
      <c r="Z36" s="36">
        <v>0.0388888888888889</v>
      </c>
      <c r="AA36" s="14">
        <v>22</v>
      </c>
      <c r="AB36" s="36">
        <v>0.0840277777777778</v>
      </c>
      <c r="AC36" s="14">
        <v>27</v>
      </c>
      <c r="AD36" s="36">
        <v>0.125</v>
      </c>
      <c r="AE36" s="14">
        <v>27</v>
      </c>
      <c r="AF36" s="65">
        <f t="shared" si="5"/>
        <v>0.0270833333333333</v>
      </c>
      <c r="AG36" s="59">
        <f t="shared" si="6"/>
        <v>0.247916666666667</v>
      </c>
    </row>
    <row r="37" spans="1:33">
      <c r="A37" s="34">
        <v>1930</v>
      </c>
      <c r="B37" s="35">
        <v>0.0118055555555556</v>
      </c>
      <c r="C37" s="14"/>
      <c r="D37" s="36">
        <v>0.0291666666666667</v>
      </c>
      <c r="E37" s="14"/>
      <c r="F37" s="36">
        <v>0.0902777777777778</v>
      </c>
      <c r="G37" s="14">
        <v>22</v>
      </c>
      <c r="H37" s="36">
        <v>0.0888888888888889</v>
      </c>
      <c r="I37" s="14">
        <v>22</v>
      </c>
      <c r="J37" s="36">
        <v>0.0909722222222222</v>
      </c>
      <c r="K37" s="14">
        <v>22</v>
      </c>
      <c r="L37" s="58">
        <f t="shared" si="7"/>
        <v>0.0409722222222223</v>
      </c>
      <c r="M37" s="59">
        <f t="shared" si="4"/>
        <v>0.270138888888889</v>
      </c>
      <c r="U37" s="34"/>
      <c r="V37" s="43">
        <v>0.0111111111111111</v>
      </c>
      <c r="W37" s="14"/>
      <c r="X37" s="36">
        <v>0.0215277777777778</v>
      </c>
      <c r="Y37" s="14"/>
      <c r="Z37" s="36">
        <v>0.08125</v>
      </c>
      <c r="AA37" s="14">
        <v>27</v>
      </c>
      <c r="AB37" s="36">
        <v>0.075</v>
      </c>
      <c r="AC37" s="14">
        <v>27</v>
      </c>
      <c r="AD37" s="36">
        <v>0.0743055555555556</v>
      </c>
      <c r="AE37" s="14">
        <v>27</v>
      </c>
      <c r="AF37" s="65">
        <f t="shared" si="5"/>
        <v>0.0326388888888889</v>
      </c>
      <c r="AG37" s="59">
        <f t="shared" si="6"/>
        <v>0.230555555555556</v>
      </c>
    </row>
    <row r="38" spans="1:33">
      <c r="A38" s="34">
        <v>1737</v>
      </c>
      <c r="B38" s="35">
        <v>0.0194444444444444</v>
      </c>
      <c r="C38" s="14"/>
      <c r="D38" s="36">
        <v>0.0284722222222222</v>
      </c>
      <c r="E38" s="14"/>
      <c r="F38" s="36">
        <v>0.0881944444444444</v>
      </c>
      <c r="G38" s="14">
        <v>27</v>
      </c>
      <c r="H38" s="36">
        <v>0.0763888888888889</v>
      </c>
      <c r="I38" s="14">
        <v>27</v>
      </c>
      <c r="J38" s="36">
        <v>0.145833333333333</v>
      </c>
      <c r="K38" s="14">
        <v>22</v>
      </c>
      <c r="L38" s="58">
        <f t="shared" si="7"/>
        <v>0.0479166666666666</v>
      </c>
      <c r="M38" s="59">
        <f t="shared" si="4"/>
        <v>0.310416666666666</v>
      </c>
      <c r="U38" s="34"/>
      <c r="V38" s="43">
        <v>0.0173611111111111</v>
      </c>
      <c r="W38" s="14"/>
      <c r="X38" s="36">
        <v>0.0208333333333333</v>
      </c>
      <c r="Y38" s="14"/>
      <c r="Z38" s="36">
        <v>0.08125</v>
      </c>
      <c r="AA38" s="14">
        <v>27</v>
      </c>
      <c r="AB38" s="36">
        <v>0.0680555555555555</v>
      </c>
      <c r="AC38" s="14">
        <v>27</v>
      </c>
      <c r="AD38" s="36">
        <v>0.126388888888889</v>
      </c>
      <c r="AE38" s="14">
        <v>27</v>
      </c>
      <c r="AF38" s="65">
        <f t="shared" si="5"/>
        <v>0.0381944444444444</v>
      </c>
      <c r="AG38" s="59">
        <f t="shared" si="6"/>
        <v>0.275694444444444</v>
      </c>
    </row>
    <row r="39" spans="1:33">
      <c r="A39" s="34">
        <v>1893</v>
      </c>
      <c r="B39" s="35">
        <v>0.0138888888888889</v>
      </c>
      <c r="C39" s="14"/>
      <c r="D39" s="36">
        <v>0.0222222222222222</v>
      </c>
      <c r="E39" s="14"/>
      <c r="F39" s="36">
        <v>0.116666666666667</v>
      </c>
      <c r="G39" s="14">
        <v>22</v>
      </c>
      <c r="H39" s="36">
        <v>0.135416666666667</v>
      </c>
      <c r="I39" s="14">
        <v>17</v>
      </c>
      <c r="J39" s="36">
        <v>0.263888888888889</v>
      </c>
      <c r="K39" s="14">
        <v>12</v>
      </c>
      <c r="L39" s="58">
        <f t="shared" si="7"/>
        <v>0.0361111111111111</v>
      </c>
      <c r="M39" s="59">
        <f t="shared" si="4"/>
        <v>0.515972222222223</v>
      </c>
      <c r="U39" s="34"/>
      <c r="V39" s="43">
        <v>0.0111111111111111</v>
      </c>
      <c r="W39" s="14"/>
      <c r="X39" s="36">
        <v>0.01875</v>
      </c>
      <c r="Y39" s="14"/>
      <c r="Z39" s="36">
        <v>0.0979166666666667</v>
      </c>
      <c r="AA39" s="14">
        <v>27</v>
      </c>
      <c r="AB39" s="36">
        <v>0.113194444444444</v>
      </c>
      <c r="AC39" s="14">
        <v>22</v>
      </c>
      <c r="AD39" s="36">
        <v>0.222222222222222</v>
      </c>
      <c r="AE39" s="14">
        <v>17</v>
      </c>
      <c r="AF39" s="65">
        <f t="shared" si="5"/>
        <v>0.0298611111111111</v>
      </c>
      <c r="AG39" s="59">
        <f t="shared" si="6"/>
        <v>0.433333333333333</v>
      </c>
    </row>
    <row r="40" spans="1:33">
      <c r="A40" s="34">
        <v>1826</v>
      </c>
      <c r="B40" s="35">
        <v>0.0208333333333333</v>
      </c>
      <c r="C40" s="14"/>
      <c r="D40" s="36">
        <v>0.0208333333333333</v>
      </c>
      <c r="E40" s="14"/>
      <c r="F40" s="36">
        <v>0.113194444444444</v>
      </c>
      <c r="G40" s="14">
        <v>22</v>
      </c>
      <c r="H40" s="36">
        <v>0.0972222222222222</v>
      </c>
      <c r="I40" s="14">
        <v>22</v>
      </c>
      <c r="J40" s="36">
        <v>0.2</v>
      </c>
      <c r="K40" s="14">
        <v>22</v>
      </c>
      <c r="L40" s="58">
        <f t="shared" si="7"/>
        <v>0.0416666666666666</v>
      </c>
      <c r="M40" s="59">
        <f t="shared" si="4"/>
        <v>0.410416666666666</v>
      </c>
      <c r="U40" s="34"/>
      <c r="V40" s="43">
        <v>0.0138888888888889</v>
      </c>
      <c r="W40" s="14"/>
      <c r="X40" s="36">
        <v>0.0166666666666667</v>
      </c>
      <c r="Y40" s="14"/>
      <c r="Z40" s="36">
        <v>0.0770833333333333</v>
      </c>
      <c r="AA40" s="14">
        <v>27</v>
      </c>
      <c r="AB40" s="36">
        <v>0.0784722222222222</v>
      </c>
      <c r="AC40" s="14">
        <v>27</v>
      </c>
      <c r="AD40" s="36">
        <v>0.167361111111111</v>
      </c>
      <c r="AE40" s="14">
        <v>22</v>
      </c>
      <c r="AF40" s="65">
        <f t="shared" si="5"/>
        <v>0.0305555555555556</v>
      </c>
      <c r="AG40" s="59">
        <f t="shared" si="6"/>
        <v>0.322916666666667</v>
      </c>
    </row>
    <row r="41" spans="1:33">
      <c r="A41" s="34">
        <v>1897</v>
      </c>
      <c r="B41" s="35">
        <v>0.0152777777777778</v>
      </c>
      <c r="C41" s="14"/>
      <c r="D41" s="36">
        <v>0.0201388888888889</v>
      </c>
      <c r="E41" s="14"/>
      <c r="F41" s="36">
        <v>0.0847222222222222</v>
      </c>
      <c r="G41" s="14">
        <v>22</v>
      </c>
      <c r="H41" s="36">
        <v>0.0763888888888889</v>
      </c>
      <c r="I41" s="14">
        <v>22</v>
      </c>
      <c r="J41" s="36">
        <v>0.201388888888889</v>
      </c>
      <c r="K41" s="14">
        <v>17</v>
      </c>
      <c r="L41" s="58">
        <f t="shared" si="7"/>
        <v>0.0354166666666667</v>
      </c>
      <c r="M41" s="59">
        <f t="shared" si="4"/>
        <v>0.3625</v>
      </c>
      <c r="U41" s="34"/>
      <c r="V41" s="43">
        <v>0.0125</v>
      </c>
      <c r="W41" s="14"/>
      <c r="X41" s="36">
        <v>0.0131944444444444</v>
      </c>
      <c r="Y41" s="14"/>
      <c r="Z41" s="36">
        <v>0.0715277777777778</v>
      </c>
      <c r="AA41" s="14">
        <v>27</v>
      </c>
      <c r="AB41" s="36">
        <v>0.0416666666666667</v>
      </c>
      <c r="AC41" s="14">
        <v>27</v>
      </c>
      <c r="AD41" s="36">
        <v>0.174305555555556</v>
      </c>
      <c r="AE41" s="14">
        <v>22</v>
      </c>
      <c r="AF41" s="65">
        <f t="shared" si="5"/>
        <v>0.0256944444444444</v>
      </c>
      <c r="AG41" s="59">
        <f t="shared" si="6"/>
        <v>0.2875</v>
      </c>
    </row>
    <row r="42" spans="1:33">
      <c r="A42" s="34">
        <v>1900</v>
      </c>
      <c r="B42" s="35">
        <v>0.0194444444444444</v>
      </c>
      <c r="C42" s="14"/>
      <c r="D42" s="36">
        <v>0.0263888888888889</v>
      </c>
      <c r="E42" s="14"/>
      <c r="F42" s="36">
        <v>0.0868055555555556</v>
      </c>
      <c r="G42" s="14">
        <v>22</v>
      </c>
      <c r="H42" s="36">
        <v>0.139583333333333</v>
      </c>
      <c r="I42" s="14">
        <v>22</v>
      </c>
      <c r="J42" s="36">
        <v>0.268055555555556</v>
      </c>
      <c r="K42" s="14">
        <v>17</v>
      </c>
      <c r="L42" s="58">
        <f t="shared" si="7"/>
        <v>0.0458333333333333</v>
      </c>
      <c r="M42" s="59">
        <f t="shared" si="4"/>
        <v>0.494444444444445</v>
      </c>
      <c r="U42" s="34"/>
      <c r="V42" s="43">
        <v>0.0138888888888889</v>
      </c>
      <c r="W42" s="14"/>
      <c r="X42" s="36">
        <v>0.01875</v>
      </c>
      <c r="Y42" s="14"/>
      <c r="Z42" s="36">
        <v>0.0541666666666667</v>
      </c>
      <c r="AA42" s="14">
        <v>27</v>
      </c>
      <c r="AB42" s="36">
        <v>0.120138888888889</v>
      </c>
      <c r="AC42" s="14">
        <v>22</v>
      </c>
      <c r="AD42" s="36">
        <v>0.209722222222222</v>
      </c>
      <c r="AE42" s="14">
        <v>22</v>
      </c>
      <c r="AF42" s="65">
        <f t="shared" si="5"/>
        <v>0.0326388888888889</v>
      </c>
      <c r="AG42" s="59">
        <f t="shared" si="6"/>
        <v>0.384027777777778</v>
      </c>
    </row>
    <row r="43" spans="1:33">
      <c r="A43" s="37">
        <v>1775</v>
      </c>
      <c r="B43" s="38">
        <v>0.0215277777777778</v>
      </c>
      <c r="C43" s="24"/>
      <c r="D43" s="39">
        <v>0.0152777777777778</v>
      </c>
      <c r="E43" s="24"/>
      <c r="F43" s="39">
        <v>0.08125</v>
      </c>
      <c r="G43" s="24">
        <v>27</v>
      </c>
      <c r="H43" s="39">
        <v>0.0819444444444444</v>
      </c>
      <c r="I43" s="24">
        <v>22</v>
      </c>
      <c r="J43" s="39">
        <v>0.141666666666667</v>
      </c>
      <c r="K43" s="24">
        <v>27</v>
      </c>
      <c r="L43" s="60">
        <f t="shared" si="7"/>
        <v>0.0368055555555556</v>
      </c>
      <c r="M43" s="61">
        <f t="shared" si="4"/>
        <v>0.304861111111111</v>
      </c>
      <c r="U43" s="37"/>
      <c r="V43" s="44">
        <v>0.00763888888888889</v>
      </c>
      <c r="W43" s="24"/>
      <c r="X43" s="39">
        <v>0.00902777777777778</v>
      </c>
      <c r="Y43" s="24"/>
      <c r="Z43" s="39">
        <v>0.0756944444444444</v>
      </c>
      <c r="AA43" s="24">
        <v>27</v>
      </c>
      <c r="AB43" s="39">
        <v>0.0652777777777778</v>
      </c>
      <c r="AC43" s="24">
        <v>27</v>
      </c>
      <c r="AD43" s="39">
        <v>0.0895833333333333</v>
      </c>
      <c r="AE43" s="24">
        <v>27</v>
      </c>
      <c r="AF43" s="66">
        <f t="shared" si="5"/>
        <v>0.0166666666666667</v>
      </c>
      <c r="AG43" s="61">
        <f t="shared" si="6"/>
        <v>0.230555555555556</v>
      </c>
    </row>
    <row r="44" spans="1:34">
      <c r="A44" s="40"/>
      <c r="L44">
        <v>862</v>
      </c>
      <c r="M44">
        <v>9518</v>
      </c>
      <c r="N44">
        <v>10380</v>
      </c>
      <c r="O44">
        <f>ABS((N44-AH44)/N44)</f>
        <v>0.273121387283237</v>
      </c>
      <c r="U44" s="40"/>
      <c r="AF44">
        <v>646</v>
      </c>
      <c r="AG44">
        <v>6899</v>
      </c>
      <c r="AH44">
        <v>7545</v>
      </c>
    </row>
    <row r="45" spans="1:23">
      <c r="A45" s="40"/>
      <c r="B45" s="41" t="s">
        <v>93</v>
      </c>
      <c r="C45" s="41" t="s">
        <v>79</v>
      </c>
      <c r="U45" s="40"/>
      <c r="V45" s="41" t="s">
        <v>93</v>
      </c>
      <c r="W45" s="41" t="s">
        <v>79</v>
      </c>
    </row>
    <row r="46" spans="1:31">
      <c r="A46" s="40"/>
      <c r="B46" s="27" t="s">
        <v>81</v>
      </c>
      <c r="C46" s="28"/>
      <c r="D46" s="27" t="s">
        <v>83</v>
      </c>
      <c r="E46" s="28"/>
      <c r="F46" s="27" t="s">
        <v>84</v>
      </c>
      <c r="G46" s="28"/>
      <c r="H46" s="27" t="s">
        <v>85</v>
      </c>
      <c r="I46" s="28"/>
      <c r="J46" s="62"/>
      <c r="K46" s="62"/>
      <c r="U46" s="40"/>
      <c r="V46" s="27" t="s">
        <v>81</v>
      </c>
      <c r="W46" s="28"/>
      <c r="X46" s="27" t="s">
        <v>83</v>
      </c>
      <c r="Y46" s="28"/>
      <c r="Z46" s="27" t="s">
        <v>84</v>
      </c>
      <c r="AA46" s="28"/>
      <c r="AB46" s="27" t="s">
        <v>85</v>
      </c>
      <c r="AC46" s="28"/>
      <c r="AD46" s="62"/>
      <c r="AE46" s="62"/>
    </row>
    <row r="47" spans="1:31">
      <c r="A47" s="40"/>
      <c r="B47" s="2" t="s">
        <v>87</v>
      </c>
      <c r="C47" s="29" t="s">
        <v>88</v>
      </c>
      <c r="D47" s="2" t="s">
        <v>87</v>
      </c>
      <c r="E47" s="29" t="s">
        <v>88</v>
      </c>
      <c r="F47" s="2" t="s">
        <v>87</v>
      </c>
      <c r="G47" s="29" t="s">
        <v>88</v>
      </c>
      <c r="H47" s="2" t="s">
        <v>87</v>
      </c>
      <c r="I47" s="29" t="s">
        <v>88</v>
      </c>
      <c r="J47" s="63" t="s">
        <v>89</v>
      </c>
      <c r="K47" s="63" t="s">
        <v>90</v>
      </c>
      <c r="U47" s="40"/>
      <c r="V47" s="2" t="s">
        <v>87</v>
      </c>
      <c r="W47" s="29" t="s">
        <v>88</v>
      </c>
      <c r="X47" s="2" t="s">
        <v>87</v>
      </c>
      <c r="Y47" s="29"/>
      <c r="Z47" s="2" t="s">
        <v>87</v>
      </c>
      <c r="AA47" s="29" t="s">
        <v>88</v>
      </c>
      <c r="AB47" s="2" t="s">
        <v>87</v>
      </c>
      <c r="AC47" s="29" t="s">
        <v>88</v>
      </c>
      <c r="AD47" s="63" t="s">
        <v>89</v>
      </c>
      <c r="AE47" s="89" t="s">
        <v>90</v>
      </c>
    </row>
    <row r="48" spans="1:31">
      <c r="A48" s="30">
        <v>1821</v>
      </c>
      <c r="B48" s="42">
        <v>0.00972222222222222</v>
      </c>
      <c r="C48" s="32">
        <v>16</v>
      </c>
      <c r="D48" s="33">
        <v>0.109722222222222</v>
      </c>
      <c r="E48" s="32">
        <v>22</v>
      </c>
      <c r="F48" s="33">
        <v>0.0784722222222222</v>
      </c>
      <c r="G48" s="32">
        <v>22</v>
      </c>
      <c r="H48" s="33">
        <v>0.284027777777778</v>
      </c>
      <c r="I48" s="32">
        <v>22</v>
      </c>
      <c r="J48" s="64">
        <f t="shared" ref="J48:J64" si="8">SUM(B48)</f>
        <v>0.00972222222222222</v>
      </c>
      <c r="K48" s="57">
        <f t="shared" ref="K48:K64" si="9">SUM(D48,F48,H48)</f>
        <v>0.472222222222222</v>
      </c>
      <c r="U48" s="30"/>
      <c r="V48" s="42">
        <v>0.00902777777777778</v>
      </c>
      <c r="W48" s="32">
        <v>16</v>
      </c>
      <c r="X48" s="33">
        <v>0.0715277777777778</v>
      </c>
      <c r="Y48" s="32">
        <v>27</v>
      </c>
      <c r="Z48" s="33">
        <v>0.0680555555555555</v>
      </c>
      <c r="AA48" s="32">
        <v>27</v>
      </c>
      <c r="AB48" s="33">
        <v>0.190972222222222</v>
      </c>
      <c r="AC48" s="32">
        <v>27</v>
      </c>
      <c r="AD48" s="64">
        <f t="shared" ref="AD48:AD64" si="10">SUM(V48)</f>
        <v>0.00902777777777778</v>
      </c>
      <c r="AE48" s="57">
        <f t="shared" ref="AE48:AE64" si="11">SUM(X48,Z48,AB48)</f>
        <v>0.330555555555555</v>
      </c>
    </row>
    <row r="49" spans="1:31">
      <c r="A49" s="34">
        <v>1776</v>
      </c>
      <c r="B49" s="43">
        <v>0.0111111111111111</v>
      </c>
      <c r="C49" s="14"/>
      <c r="D49" s="36">
        <v>0.0819444444444444</v>
      </c>
      <c r="E49" s="14">
        <v>22</v>
      </c>
      <c r="F49" s="36">
        <v>0.0729166666666667</v>
      </c>
      <c r="G49" s="14">
        <v>22</v>
      </c>
      <c r="H49" s="36">
        <v>0.209027777777778</v>
      </c>
      <c r="I49" s="14">
        <v>22</v>
      </c>
      <c r="J49" s="65">
        <f t="shared" si="8"/>
        <v>0.0111111111111111</v>
      </c>
      <c r="K49" s="59">
        <f t="shared" si="9"/>
        <v>0.363888888888889</v>
      </c>
      <c r="U49" s="34"/>
      <c r="V49" s="43">
        <v>0.0104166666666667</v>
      </c>
      <c r="W49" s="14"/>
      <c r="X49" s="36">
        <v>0.03125</v>
      </c>
      <c r="Y49" s="14">
        <v>12</v>
      </c>
      <c r="Z49" s="36">
        <v>0.0541666666666667</v>
      </c>
      <c r="AA49" s="14">
        <v>22</v>
      </c>
      <c r="AB49" s="36">
        <v>0.156944444444444</v>
      </c>
      <c r="AC49" s="14">
        <v>12</v>
      </c>
      <c r="AD49" s="65">
        <f t="shared" si="10"/>
        <v>0.0104166666666667</v>
      </c>
      <c r="AE49" s="59">
        <f t="shared" si="11"/>
        <v>0.242361111111111</v>
      </c>
    </row>
    <row r="50" spans="1:31">
      <c r="A50" s="34">
        <v>1885</v>
      </c>
      <c r="B50" s="43">
        <v>0.00972222222222222</v>
      </c>
      <c r="C50" s="14"/>
      <c r="D50" s="36">
        <v>0.0534722222222222</v>
      </c>
      <c r="E50" s="14">
        <v>12</v>
      </c>
      <c r="F50" s="36">
        <v>0.102777777777778</v>
      </c>
      <c r="G50" s="14">
        <v>22</v>
      </c>
      <c r="H50" s="36">
        <v>0.133333333333333</v>
      </c>
      <c r="I50" s="14">
        <v>22</v>
      </c>
      <c r="J50" s="65">
        <f t="shared" si="8"/>
        <v>0.00972222222222222</v>
      </c>
      <c r="K50" s="59">
        <f t="shared" si="9"/>
        <v>0.289583333333333</v>
      </c>
      <c r="U50" s="34"/>
      <c r="V50" s="43">
        <v>0.00694444444444444</v>
      </c>
      <c r="W50" s="14"/>
      <c r="X50" s="36">
        <v>0.0305555555555556</v>
      </c>
      <c r="Y50" s="14">
        <v>12</v>
      </c>
      <c r="Z50" s="36">
        <v>0.0791666666666667</v>
      </c>
      <c r="AA50" s="14">
        <v>22</v>
      </c>
      <c r="AB50" s="36">
        <v>0.0951388888888889</v>
      </c>
      <c r="AC50" s="14">
        <v>22</v>
      </c>
      <c r="AD50" s="65">
        <f t="shared" si="10"/>
        <v>0.00694444444444444</v>
      </c>
      <c r="AE50" s="59">
        <f t="shared" si="11"/>
        <v>0.204861111111111</v>
      </c>
    </row>
    <row r="51" spans="1:31">
      <c r="A51" s="34">
        <v>1936</v>
      </c>
      <c r="B51" s="43">
        <v>0.0104166666666667</v>
      </c>
      <c r="C51" s="14"/>
      <c r="D51" s="36">
        <v>0.0590277777777778</v>
      </c>
      <c r="E51" s="14">
        <v>22</v>
      </c>
      <c r="F51" s="36">
        <v>0.0826388888888889</v>
      </c>
      <c r="G51" s="14">
        <v>22</v>
      </c>
      <c r="H51" s="36">
        <v>0.134027777777778</v>
      </c>
      <c r="I51" s="14">
        <v>22</v>
      </c>
      <c r="J51" s="65">
        <f t="shared" si="8"/>
        <v>0.0104166666666667</v>
      </c>
      <c r="K51" s="59">
        <f t="shared" si="9"/>
        <v>0.275694444444445</v>
      </c>
      <c r="U51" s="34"/>
      <c r="V51" s="43">
        <v>0.00763888888888889</v>
      </c>
      <c r="W51" s="14"/>
      <c r="X51" s="36">
        <v>0.0409722222222222</v>
      </c>
      <c r="Y51" s="14">
        <v>27</v>
      </c>
      <c r="Z51" s="36">
        <v>0.0520833333333333</v>
      </c>
      <c r="AA51" s="14">
        <v>27</v>
      </c>
      <c r="AB51" s="36">
        <v>0.109027777777778</v>
      </c>
      <c r="AC51" s="14">
        <v>27</v>
      </c>
      <c r="AD51" s="65">
        <f t="shared" si="10"/>
        <v>0.00763888888888889</v>
      </c>
      <c r="AE51" s="59">
        <f t="shared" si="11"/>
        <v>0.202083333333334</v>
      </c>
    </row>
    <row r="52" spans="1:31">
      <c r="A52" s="34">
        <v>1873</v>
      </c>
      <c r="B52" s="43">
        <v>0.00833333333333333</v>
      </c>
      <c r="C52" s="14"/>
      <c r="D52" s="36">
        <v>0.103472222222222</v>
      </c>
      <c r="E52" s="14">
        <v>22</v>
      </c>
      <c r="F52" s="36">
        <v>0.124305555555556</v>
      </c>
      <c r="G52" s="14">
        <v>17</v>
      </c>
      <c r="H52" s="36">
        <v>0.220138888888889</v>
      </c>
      <c r="I52" s="14">
        <v>12</v>
      </c>
      <c r="J52" s="65">
        <f t="shared" si="8"/>
        <v>0.00833333333333333</v>
      </c>
      <c r="K52" s="59">
        <f t="shared" si="9"/>
        <v>0.447916666666667</v>
      </c>
      <c r="U52" s="34"/>
      <c r="V52" s="43">
        <v>0.00694444444444444</v>
      </c>
      <c r="W52" s="14"/>
      <c r="X52" s="36">
        <v>0.0743055555555556</v>
      </c>
      <c r="Y52" s="14">
        <v>27</v>
      </c>
      <c r="Z52" s="36">
        <v>0.08125</v>
      </c>
      <c r="AA52" s="14">
        <v>27</v>
      </c>
      <c r="AB52" s="36">
        <v>0.167361111111111</v>
      </c>
      <c r="AC52" s="14">
        <v>22</v>
      </c>
      <c r="AD52" s="65">
        <f t="shared" si="10"/>
        <v>0.00694444444444444</v>
      </c>
      <c r="AE52" s="59">
        <f t="shared" si="11"/>
        <v>0.322916666666667</v>
      </c>
    </row>
    <row r="53" spans="1:31">
      <c r="A53" s="34">
        <v>1857</v>
      </c>
      <c r="B53" s="43">
        <v>0.00833333333333333</v>
      </c>
      <c r="C53" s="14"/>
      <c r="D53" s="36">
        <v>0.0972222222222222</v>
      </c>
      <c r="E53" s="14">
        <v>25</v>
      </c>
      <c r="F53" s="36">
        <v>0.116666666666667</v>
      </c>
      <c r="G53" s="14">
        <v>20</v>
      </c>
      <c r="H53" s="36">
        <v>0.186111111111111</v>
      </c>
      <c r="I53" s="14">
        <v>16</v>
      </c>
      <c r="J53" s="65">
        <f t="shared" si="8"/>
        <v>0.00833333333333333</v>
      </c>
      <c r="K53" s="59">
        <f t="shared" si="9"/>
        <v>0.4</v>
      </c>
      <c r="U53" s="34"/>
      <c r="V53" s="43">
        <v>0.00694444444444444</v>
      </c>
      <c r="W53" s="14"/>
      <c r="X53" s="36">
        <v>0.0416666666666667</v>
      </c>
      <c r="Y53" s="14">
        <v>27</v>
      </c>
      <c r="Z53" s="36">
        <v>0.0520833333333333</v>
      </c>
      <c r="AA53" s="14">
        <v>27</v>
      </c>
      <c r="AB53" s="36">
        <v>0.128472222222222</v>
      </c>
      <c r="AC53" s="14">
        <v>22</v>
      </c>
      <c r="AD53" s="65">
        <f t="shared" si="10"/>
        <v>0.00694444444444444</v>
      </c>
      <c r="AE53" s="59">
        <f t="shared" si="11"/>
        <v>0.222222222222222</v>
      </c>
    </row>
    <row r="54" spans="1:35">
      <c r="A54" s="34">
        <v>1844</v>
      </c>
      <c r="B54" s="43">
        <v>0.0138888888888889</v>
      </c>
      <c r="C54" s="14"/>
      <c r="D54" s="36">
        <v>0.0541666666666667</v>
      </c>
      <c r="E54" s="14">
        <v>17</v>
      </c>
      <c r="F54" s="36">
        <v>0.0743055555555556</v>
      </c>
      <c r="G54" s="14">
        <v>17</v>
      </c>
      <c r="H54" s="36">
        <v>0.155555555555556</v>
      </c>
      <c r="I54" s="14">
        <v>17</v>
      </c>
      <c r="J54" s="65">
        <f t="shared" si="8"/>
        <v>0.0138888888888889</v>
      </c>
      <c r="K54" s="59">
        <f t="shared" si="9"/>
        <v>0.284027777777778</v>
      </c>
      <c r="U54" s="34"/>
      <c r="V54" s="43">
        <v>0.00763888888888889</v>
      </c>
      <c r="W54" s="14"/>
      <c r="X54" s="36">
        <v>0.0416666666666667</v>
      </c>
      <c r="Y54" s="14">
        <v>22</v>
      </c>
      <c r="Z54" s="36">
        <v>0.0430555555555556</v>
      </c>
      <c r="AA54" s="14">
        <v>22</v>
      </c>
      <c r="AB54" s="36">
        <v>0.125694444444444</v>
      </c>
      <c r="AC54" s="14">
        <v>22</v>
      </c>
      <c r="AD54" s="65">
        <f t="shared" si="10"/>
        <v>0.00763888888888889</v>
      </c>
      <c r="AE54" s="59">
        <f t="shared" si="11"/>
        <v>0.210416666666666</v>
      </c>
      <c r="AI54" t="s">
        <v>94</v>
      </c>
    </row>
    <row r="55" spans="1:36">
      <c r="A55" s="34">
        <v>1797</v>
      </c>
      <c r="B55" s="43">
        <v>0.00694444444444444</v>
      </c>
      <c r="C55" s="14"/>
      <c r="D55" s="36">
        <v>0.111805555555556</v>
      </c>
      <c r="E55" s="14">
        <v>22</v>
      </c>
      <c r="F55" s="36">
        <v>0.075</v>
      </c>
      <c r="G55" s="14">
        <v>17</v>
      </c>
      <c r="H55" s="36">
        <v>0.255555555555556</v>
      </c>
      <c r="I55" s="14">
        <v>17</v>
      </c>
      <c r="J55" s="65">
        <f t="shared" si="8"/>
        <v>0.00694444444444444</v>
      </c>
      <c r="K55" s="59">
        <f t="shared" si="9"/>
        <v>0.442361111111112</v>
      </c>
      <c r="U55" s="34"/>
      <c r="V55" s="43">
        <v>0.00416666666666667</v>
      </c>
      <c r="W55" s="14"/>
      <c r="X55" s="36">
        <v>0.05</v>
      </c>
      <c r="Y55" s="14">
        <v>27</v>
      </c>
      <c r="Z55" s="36">
        <v>0.0416666666666667</v>
      </c>
      <c r="AA55" s="14">
        <v>22</v>
      </c>
      <c r="AB55" s="36">
        <v>0.111111111111111</v>
      </c>
      <c r="AC55" s="14">
        <v>22</v>
      </c>
      <c r="AD55" s="65">
        <f t="shared" si="10"/>
        <v>0.00416666666666667</v>
      </c>
      <c r="AE55" s="59">
        <f t="shared" si="11"/>
        <v>0.202777777777778</v>
      </c>
      <c r="AI55" t="s">
        <v>78</v>
      </c>
      <c r="AJ55" s="97">
        <v>0.2731</v>
      </c>
    </row>
    <row r="56" spans="1:36">
      <c r="A56" s="34">
        <v>1929</v>
      </c>
      <c r="B56" s="43">
        <v>0.00972222222222222</v>
      </c>
      <c r="C56" s="14"/>
      <c r="D56" s="36">
        <v>0.0625</v>
      </c>
      <c r="E56" s="14">
        <v>22</v>
      </c>
      <c r="F56" s="36">
        <v>0.0694444444444444</v>
      </c>
      <c r="G56" s="14">
        <v>22</v>
      </c>
      <c r="H56" s="36">
        <v>0.220833333333333</v>
      </c>
      <c r="I56" s="14">
        <v>22</v>
      </c>
      <c r="J56" s="65">
        <f t="shared" si="8"/>
        <v>0.00972222222222222</v>
      </c>
      <c r="K56" s="59">
        <f t="shared" si="9"/>
        <v>0.352777777777777</v>
      </c>
      <c r="U56" s="34"/>
      <c r="V56" s="43">
        <v>0.00555555555555556</v>
      </c>
      <c r="W56" s="14"/>
      <c r="X56" s="36">
        <v>0.0402777777777778</v>
      </c>
      <c r="Y56" s="14">
        <v>27</v>
      </c>
      <c r="Z56" s="36">
        <v>0.0430555555555556</v>
      </c>
      <c r="AA56" s="14">
        <v>27</v>
      </c>
      <c r="AB56" s="36">
        <v>0.165972222222222</v>
      </c>
      <c r="AC56" s="14">
        <v>27</v>
      </c>
      <c r="AD56" s="65">
        <f t="shared" si="10"/>
        <v>0.00555555555555556</v>
      </c>
      <c r="AE56" s="59">
        <f t="shared" si="11"/>
        <v>0.249305555555555</v>
      </c>
      <c r="AI56" t="s">
        <v>93</v>
      </c>
      <c r="AJ56" s="97">
        <v>0.3021</v>
      </c>
    </row>
    <row r="57" spans="1:36">
      <c r="A57" s="34">
        <v>1858</v>
      </c>
      <c r="B57" s="43">
        <v>0.0111111111111111</v>
      </c>
      <c r="C57" s="14"/>
      <c r="D57" s="36">
        <v>0.108333333333333</v>
      </c>
      <c r="E57" s="14">
        <v>22</v>
      </c>
      <c r="F57" s="36">
        <v>0.0715277777777778</v>
      </c>
      <c r="G57" s="14">
        <v>22</v>
      </c>
      <c r="H57" s="36">
        <v>0.284722222222222</v>
      </c>
      <c r="I57" s="14">
        <v>22</v>
      </c>
      <c r="J57" s="65">
        <f t="shared" si="8"/>
        <v>0.0111111111111111</v>
      </c>
      <c r="K57" s="59">
        <f t="shared" si="9"/>
        <v>0.464583333333333</v>
      </c>
      <c r="U57" s="34"/>
      <c r="V57" s="43">
        <v>0.00694444444444444</v>
      </c>
      <c r="W57" s="14"/>
      <c r="X57" s="36">
        <v>0.0708333333333333</v>
      </c>
      <c r="Y57" s="14">
        <v>27</v>
      </c>
      <c r="Z57" s="36">
        <v>0.0444444444444444</v>
      </c>
      <c r="AA57" s="14">
        <v>27</v>
      </c>
      <c r="AB57" s="36">
        <v>0.176388888888889</v>
      </c>
      <c r="AC57" s="14">
        <v>22</v>
      </c>
      <c r="AD57" s="65">
        <f t="shared" si="10"/>
        <v>0.00694444444444444</v>
      </c>
      <c r="AE57" s="59">
        <f t="shared" si="11"/>
        <v>0.291666666666667</v>
      </c>
      <c r="AI57" t="s">
        <v>95</v>
      </c>
      <c r="AJ57" s="97">
        <v>0.2595</v>
      </c>
    </row>
    <row r="58" spans="1:36">
      <c r="A58" s="34">
        <v>1930</v>
      </c>
      <c r="B58" s="43">
        <v>0.0104166666666667</v>
      </c>
      <c r="C58" s="14"/>
      <c r="D58" s="36">
        <v>0.0715277777777778</v>
      </c>
      <c r="E58" s="14">
        <v>22</v>
      </c>
      <c r="F58" s="36">
        <v>0.0826388888888889</v>
      </c>
      <c r="G58" s="14">
        <v>22</v>
      </c>
      <c r="H58" s="36">
        <v>0.175</v>
      </c>
      <c r="I58" s="14">
        <v>22</v>
      </c>
      <c r="J58" s="65">
        <f t="shared" si="8"/>
        <v>0.0104166666666667</v>
      </c>
      <c r="K58" s="59">
        <f t="shared" si="9"/>
        <v>0.329166666666667</v>
      </c>
      <c r="U58" s="34"/>
      <c r="V58" s="43">
        <v>0.00625</v>
      </c>
      <c r="W58" s="14"/>
      <c r="X58" s="36">
        <v>0.04375</v>
      </c>
      <c r="Y58" s="14">
        <v>27</v>
      </c>
      <c r="Z58" s="36">
        <v>0.0680555555555555</v>
      </c>
      <c r="AA58" s="14">
        <v>27</v>
      </c>
      <c r="AB58" s="36">
        <v>0.148611111111111</v>
      </c>
      <c r="AC58" s="14">
        <v>27</v>
      </c>
      <c r="AD58" s="65">
        <f t="shared" si="10"/>
        <v>0.00625</v>
      </c>
      <c r="AE58" s="59">
        <f t="shared" si="11"/>
        <v>0.260416666666667</v>
      </c>
      <c r="AI58" t="s">
        <v>96</v>
      </c>
      <c r="AJ58" s="97">
        <v>0.2675</v>
      </c>
    </row>
    <row r="59" spans="1:31">
      <c r="A59" s="34">
        <v>1737</v>
      </c>
      <c r="B59" s="43">
        <v>0.0131944444444444</v>
      </c>
      <c r="C59" s="14"/>
      <c r="D59" s="36">
        <v>0.0902777777777778</v>
      </c>
      <c r="E59" s="14">
        <v>22</v>
      </c>
      <c r="F59" s="36">
        <v>0.0756944444444444</v>
      </c>
      <c r="G59" s="14">
        <v>22</v>
      </c>
      <c r="H59" s="36">
        <v>0.153472222222222</v>
      </c>
      <c r="I59" s="14">
        <v>22</v>
      </c>
      <c r="J59" s="65">
        <f t="shared" si="8"/>
        <v>0.0131944444444444</v>
      </c>
      <c r="K59" s="59">
        <f t="shared" si="9"/>
        <v>0.319444444444444</v>
      </c>
      <c r="U59" s="34"/>
      <c r="V59" s="43">
        <v>0.00902777777777778</v>
      </c>
      <c r="W59" s="14"/>
      <c r="X59" s="36">
        <v>0.0805555555555556</v>
      </c>
      <c r="Y59" s="14">
        <v>27</v>
      </c>
      <c r="Z59" s="36">
        <v>0.0673611111111111</v>
      </c>
      <c r="AA59" s="14">
        <v>27</v>
      </c>
      <c r="AB59" s="36">
        <v>0.131944444444444</v>
      </c>
      <c r="AC59" s="14">
        <v>27</v>
      </c>
      <c r="AD59" s="65">
        <f t="shared" si="10"/>
        <v>0.00902777777777778</v>
      </c>
      <c r="AE59" s="59">
        <f t="shared" si="11"/>
        <v>0.279861111111111</v>
      </c>
    </row>
    <row r="60" spans="1:31">
      <c r="A60" s="34">
        <v>1893</v>
      </c>
      <c r="B60" s="43">
        <v>0.00625</v>
      </c>
      <c r="C60" s="14"/>
      <c r="D60" s="36">
        <v>0.126388888888889</v>
      </c>
      <c r="E60" s="14">
        <v>17</v>
      </c>
      <c r="F60" s="36">
        <v>0.0923611111111111</v>
      </c>
      <c r="G60" s="14">
        <v>12</v>
      </c>
      <c r="H60" s="36">
        <v>0.283333333333333</v>
      </c>
      <c r="I60" s="14">
        <v>22</v>
      </c>
      <c r="J60" s="65">
        <f t="shared" si="8"/>
        <v>0.00625</v>
      </c>
      <c r="K60" s="59">
        <f t="shared" si="9"/>
        <v>0.502083333333333</v>
      </c>
      <c r="U60" s="34"/>
      <c r="V60" s="43">
        <v>0.00486111111111111</v>
      </c>
      <c r="W60" s="14"/>
      <c r="X60" s="36">
        <v>0.111111111111111</v>
      </c>
      <c r="Y60" s="14">
        <v>22</v>
      </c>
      <c r="Z60" s="36">
        <v>0.0743055555555556</v>
      </c>
      <c r="AA60" s="14">
        <v>17</v>
      </c>
      <c r="AB60" s="36">
        <v>0.209027777777778</v>
      </c>
      <c r="AC60" s="14">
        <v>22</v>
      </c>
      <c r="AD60" s="65">
        <f t="shared" si="10"/>
        <v>0.00486111111111111</v>
      </c>
      <c r="AE60" s="59">
        <f t="shared" si="11"/>
        <v>0.394444444444445</v>
      </c>
    </row>
    <row r="61" spans="1:31">
      <c r="A61" s="34">
        <v>1826</v>
      </c>
      <c r="B61" s="43">
        <v>0.0104166666666667</v>
      </c>
      <c r="C61" s="14"/>
      <c r="D61" s="36">
        <v>0.0604166666666667</v>
      </c>
      <c r="E61" s="14">
        <v>17</v>
      </c>
      <c r="F61" s="36">
        <v>0.0541666666666667</v>
      </c>
      <c r="G61" s="14">
        <v>22</v>
      </c>
      <c r="H61" s="36">
        <v>0.170138888888889</v>
      </c>
      <c r="I61" s="14">
        <v>27</v>
      </c>
      <c r="J61" s="65">
        <f t="shared" si="8"/>
        <v>0.0104166666666667</v>
      </c>
      <c r="K61" s="59">
        <f t="shared" si="9"/>
        <v>0.284722222222222</v>
      </c>
      <c r="U61" s="34"/>
      <c r="V61" s="43">
        <v>0.00625</v>
      </c>
      <c r="W61" s="14"/>
      <c r="X61" s="36">
        <v>0.0416666666666667</v>
      </c>
      <c r="Y61" s="14">
        <v>22</v>
      </c>
      <c r="Z61" s="36">
        <v>0.0402777777777778</v>
      </c>
      <c r="AA61" s="14">
        <v>27</v>
      </c>
      <c r="AB61" s="36">
        <v>0.159027777777778</v>
      </c>
      <c r="AC61" s="14">
        <v>27</v>
      </c>
      <c r="AD61" s="65">
        <f t="shared" si="10"/>
        <v>0.00625</v>
      </c>
      <c r="AE61" s="59">
        <f t="shared" si="11"/>
        <v>0.240972222222222</v>
      </c>
    </row>
    <row r="62" spans="1:31">
      <c r="A62" s="34">
        <v>1897</v>
      </c>
      <c r="B62" s="43">
        <v>0.0118055555555556</v>
      </c>
      <c r="C62" s="14"/>
      <c r="D62" s="36">
        <v>0.119444444444444</v>
      </c>
      <c r="E62" s="14">
        <v>12</v>
      </c>
      <c r="F62" s="36">
        <v>0.0611111111111111</v>
      </c>
      <c r="G62" s="14">
        <v>17</v>
      </c>
      <c r="H62" s="36">
        <v>0.149305555555556</v>
      </c>
      <c r="I62" s="14">
        <v>22</v>
      </c>
      <c r="J62" s="65">
        <f t="shared" si="8"/>
        <v>0.0118055555555556</v>
      </c>
      <c r="K62" s="59">
        <f t="shared" si="9"/>
        <v>0.329861111111111</v>
      </c>
      <c r="U62" s="34"/>
      <c r="V62" s="43">
        <v>0.00694444444444444</v>
      </c>
      <c r="W62" s="14"/>
      <c r="X62" s="36">
        <v>0.0458333333333333</v>
      </c>
      <c r="Y62" s="14">
        <v>27</v>
      </c>
      <c r="Z62" s="36">
        <v>0.0409722222222222</v>
      </c>
      <c r="AA62" s="14">
        <v>22</v>
      </c>
      <c r="AB62" s="36">
        <v>0.123611111111111</v>
      </c>
      <c r="AC62" s="14">
        <v>22</v>
      </c>
      <c r="AD62" s="65">
        <f t="shared" si="10"/>
        <v>0.00694444444444444</v>
      </c>
      <c r="AE62" s="59">
        <f t="shared" si="11"/>
        <v>0.210416666666667</v>
      </c>
    </row>
    <row r="63" spans="1:31">
      <c r="A63" s="34">
        <v>1900</v>
      </c>
      <c r="B63" s="43">
        <v>0.00902777777777778</v>
      </c>
      <c r="C63" s="14"/>
      <c r="D63" s="36">
        <v>0.127777777777778</v>
      </c>
      <c r="E63" s="14">
        <v>17</v>
      </c>
      <c r="F63" s="36">
        <v>0.0763888888888889</v>
      </c>
      <c r="G63" s="14">
        <v>17</v>
      </c>
      <c r="H63" s="36">
        <v>0.259722222222222</v>
      </c>
      <c r="I63" s="14">
        <v>22</v>
      </c>
      <c r="J63" s="65">
        <f t="shared" si="8"/>
        <v>0.00902777777777778</v>
      </c>
      <c r="K63" s="59">
        <f t="shared" si="9"/>
        <v>0.463888888888889</v>
      </c>
      <c r="U63" s="34"/>
      <c r="V63" s="43">
        <v>0.00763888888888889</v>
      </c>
      <c r="W63" s="14"/>
      <c r="X63" s="36">
        <v>0.1125</v>
      </c>
      <c r="Y63" s="14">
        <v>22</v>
      </c>
      <c r="Z63" s="36">
        <v>0.0479166666666667</v>
      </c>
      <c r="AA63" s="14">
        <v>22</v>
      </c>
      <c r="AB63" s="36">
        <v>0.227083333333333</v>
      </c>
      <c r="AC63" s="14">
        <v>22</v>
      </c>
      <c r="AD63" s="65">
        <f t="shared" si="10"/>
        <v>0.00763888888888889</v>
      </c>
      <c r="AE63" s="59">
        <f t="shared" si="11"/>
        <v>0.3875</v>
      </c>
    </row>
    <row r="64" spans="1:31">
      <c r="A64" s="37">
        <v>1775</v>
      </c>
      <c r="B64" s="44">
        <v>0.00833333333333333</v>
      </c>
      <c r="C64" s="24"/>
      <c r="D64" s="39">
        <v>0.0993055555555555</v>
      </c>
      <c r="E64" s="24">
        <v>12</v>
      </c>
      <c r="F64" s="39">
        <v>0.0923611111111111</v>
      </c>
      <c r="G64" s="24">
        <v>22</v>
      </c>
      <c r="H64" s="39">
        <v>0.128472222222222</v>
      </c>
      <c r="I64" s="24">
        <v>12</v>
      </c>
      <c r="J64" s="66">
        <f t="shared" si="8"/>
        <v>0.00833333333333333</v>
      </c>
      <c r="K64" s="61">
        <f t="shared" si="9"/>
        <v>0.320138888888889</v>
      </c>
      <c r="U64" s="37"/>
      <c r="V64" s="44">
        <v>0.00763888888888889</v>
      </c>
      <c r="W64" s="24"/>
      <c r="X64" s="39">
        <v>0.0555555555555556</v>
      </c>
      <c r="Y64" s="24">
        <v>22</v>
      </c>
      <c r="Z64" s="39">
        <v>0.0680555555555555</v>
      </c>
      <c r="AA64" s="24">
        <v>22</v>
      </c>
      <c r="AB64" s="39">
        <v>0.0465277777777778</v>
      </c>
      <c r="AC64" s="24">
        <v>17</v>
      </c>
      <c r="AD64" s="66">
        <f t="shared" si="10"/>
        <v>0.00763888888888889</v>
      </c>
      <c r="AE64" s="61">
        <f t="shared" si="11"/>
        <v>0.170138888888889</v>
      </c>
    </row>
    <row r="65" spans="1:32">
      <c r="A65" s="40"/>
      <c r="J65">
        <v>243</v>
      </c>
      <c r="K65">
        <v>9133</v>
      </c>
      <c r="L65">
        <v>9376</v>
      </c>
      <c r="O65">
        <f>ABS((L65-AF65)/L65)</f>
        <v>0.302154436860068</v>
      </c>
      <c r="U65" s="40"/>
      <c r="AD65">
        <v>174</v>
      </c>
      <c r="AE65">
        <v>6369</v>
      </c>
      <c r="AF65">
        <v>6543</v>
      </c>
    </row>
    <row r="66" spans="1:23">
      <c r="A66" s="40"/>
      <c r="B66" s="103" t="s">
        <v>95</v>
      </c>
      <c r="C66" s="103" t="s">
        <v>79</v>
      </c>
      <c r="U66" s="40"/>
      <c r="V66" s="103" t="s">
        <v>95</v>
      </c>
      <c r="W66" s="103" t="s">
        <v>79</v>
      </c>
    </row>
    <row r="67" spans="1:31">
      <c r="A67" s="40"/>
      <c r="B67" s="27" t="s">
        <v>81</v>
      </c>
      <c r="C67" s="28"/>
      <c r="D67" s="27" t="s">
        <v>82</v>
      </c>
      <c r="E67" s="28"/>
      <c r="F67" s="27" t="s">
        <v>83</v>
      </c>
      <c r="G67" s="28"/>
      <c r="H67" s="27" t="s">
        <v>84</v>
      </c>
      <c r="I67" s="28"/>
      <c r="J67" s="27" t="s">
        <v>85</v>
      </c>
      <c r="K67" s="28"/>
      <c r="U67" s="40"/>
      <c r="V67" s="27" t="s">
        <v>81</v>
      </c>
      <c r="W67" s="28"/>
      <c r="X67" s="27" t="s">
        <v>82</v>
      </c>
      <c r="Y67" s="28"/>
      <c r="Z67" s="27" t="s">
        <v>83</v>
      </c>
      <c r="AA67" s="28"/>
      <c r="AB67" s="27" t="s">
        <v>84</v>
      </c>
      <c r="AC67" s="28"/>
      <c r="AD67" s="27" t="s">
        <v>85</v>
      </c>
      <c r="AE67" s="28"/>
    </row>
    <row r="68" spans="1:33">
      <c r="A68" s="40"/>
      <c r="B68" s="2" t="s">
        <v>87</v>
      </c>
      <c r="C68" s="29" t="s">
        <v>88</v>
      </c>
      <c r="D68" s="2" t="s">
        <v>87</v>
      </c>
      <c r="E68" s="29" t="s">
        <v>88</v>
      </c>
      <c r="F68" s="2" t="s">
        <v>87</v>
      </c>
      <c r="G68" s="29" t="s">
        <v>88</v>
      </c>
      <c r="H68" s="2" t="s">
        <v>87</v>
      </c>
      <c r="I68" s="29" t="s">
        <v>88</v>
      </c>
      <c r="J68" s="3" t="s">
        <v>87</v>
      </c>
      <c r="K68" s="29" t="s">
        <v>88</v>
      </c>
      <c r="L68" s="106" t="s">
        <v>89</v>
      </c>
      <c r="M68" s="107" t="s">
        <v>90</v>
      </c>
      <c r="U68" s="40"/>
      <c r="V68" s="2" t="s">
        <v>87</v>
      </c>
      <c r="W68" s="29" t="s">
        <v>88</v>
      </c>
      <c r="X68" s="2" t="s">
        <v>87</v>
      </c>
      <c r="Y68" s="29" t="s">
        <v>88</v>
      </c>
      <c r="Z68" s="2" t="s">
        <v>87</v>
      </c>
      <c r="AA68" s="29" t="s">
        <v>88</v>
      </c>
      <c r="AB68" s="2" t="s">
        <v>87</v>
      </c>
      <c r="AC68" s="29" t="s">
        <v>88</v>
      </c>
      <c r="AD68" s="3" t="s">
        <v>87</v>
      </c>
      <c r="AE68" s="29" t="s">
        <v>88</v>
      </c>
      <c r="AF68" s="107" t="s">
        <v>89</v>
      </c>
      <c r="AG68" s="112" t="s">
        <v>90</v>
      </c>
    </row>
    <row r="69" spans="1:35">
      <c r="A69" s="30">
        <v>1821</v>
      </c>
      <c r="B69" s="42">
        <v>0.0236111111111111</v>
      </c>
      <c r="C69" s="32">
        <v>16</v>
      </c>
      <c r="D69" s="33">
        <v>0.0333333333333333</v>
      </c>
      <c r="E69" s="32">
        <v>16</v>
      </c>
      <c r="F69" s="33">
        <v>0.0444444444444444</v>
      </c>
      <c r="G69" s="32">
        <v>22</v>
      </c>
      <c r="H69" s="33">
        <v>0.0479166666666667</v>
      </c>
      <c r="I69" s="32">
        <v>22</v>
      </c>
      <c r="J69" s="33">
        <v>0.15</v>
      </c>
      <c r="K69" s="108">
        <v>17</v>
      </c>
      <c r="L69" s="64">
        <f t="shared" ref="L69:L85" si="12">SUM(B69,D69)</f>
        <v>0.0569444444444444</v>
      </c>
      <c r="M69" s="57">
        <f t="shared" ref="M69:M85" si="13">SUM(F69,H69,J69)</f>
        <v>0.242361111111111</v>
      </c>
      <c r="U69" s="30"/>
      <c r="V69" s="42">
        <v>0.0201388888888889</v>
      </c>
      <c r="W69" s="32">
        <v>16</v>
      </c>
      <c r="X69" s="33">
        <v>0.0277777777777778</v>
      </c>
      <c r="Y69" s="32">
        <v>16</v>
      </c>
      <c r="Z69" s="33">
        <v>0.0368055555555556</v>
      </c>
      <c r="AA69" s="32">
        <v>27</v>
      </c>
      <c r="AB69" s="33">
        <v>0.04375</v>
      </c>
      <c r="AC69" s="32">
        <v>22</v>
      </c>
      <c r="AD69" s="33">
        <v>0.1125</v>
      </c>
      <c r="AE69" s="32">
        <v>27</v>
      </c>
      <c r="AF69" s="64">
        <f t="shared" ref="AF69:AF85" si="14">SUM(V69,X69)</f>
        <v>0.0479166666666667</v>
      </c>
      <c r="AG69" s="57">
        <f t="shared" ref="AG69:AG85" si="15">SUM(Z69,AB69,AD69)</f>
        <v>0.193055555555556</v>
      </c>
      <c r="AI69" t="s">
        <v>97</v>
      </c>
    </row>
    <row r="70" spans="1:36">
      <c r="A70" s="34">
        <v>1776</v>
      </c>
      <c r="B70" s="43">
        <v>0.0222222222222222</v>
      </c>
      <c r="C70" s="14"/>
      <c r="D70" s="36">
        <v>0.0597222222222222</v>
      </c>
      <c r="E70" s="14"/>
      <c r="F70" s="36">
        <v>0.0451388888888889</v>
      </c>
      <c r="G70" s="14">
        <v>22</v>
      </c>
      <c r="H70" s="36">
        <v>0.0625</v>
      </c>
      <c r="I70" s="14">
        <v>17</v>
      </c>
      <c r="J70" s="36">
        <v>0.0833333333333333</v>
      </c>
      <c r="K70" s="13">
        <v>22</v>
      </c>
      <c r="L70" s="65">
        <f t="shared" si="12"/>
        <v>0.0819444444444444</v>
      </c>
      <c r="M70" s="59">
        <f t="shared" si="13"/>
        <v>0.190972222222222</v>
      </c>
      <c r="U70" s="34"/>
      <c r="V70" s="43">
        <v>0.0159722222222222</v>
      </c>
      <c r="W70" s="14"/>
      <c r="X70" s="36">
        <v>0.0229166666666667</v>
      </c>
      <c r="Y70" s="14"/>
      <c r="Z70" s="36">
        <v>0.0222222222222222</v>
      </c>
      <c r="AA70" s="14">
        <v>12</v>
      </c>
      <c r="AB70" s="36">
        <v>0.0597222222222222</v>
      </c>
      <c r="AC70" s="14">
        <v>17</v>
      </c>
      <c r="AD70" s="36">
        <v>0.0868055555555556</v>
      </c>
      <c r="AE70" s="14">
        <v>22</v>
      </c>
      <c r="AF70" s="65">
        <f t="shared" si="14"/>
        <v>0.0388888888888889</v>
      </c>
      <c r="AG70" s="59">
        <f t="shared" si="15"/>
        <v>0.16875</v>
      </c>
      <c r="AI70" t="s">
        <v>98</v>
      </c>
      <c r="AJ70" t="s">
        <v>99</v>
      </c>
    </row>
    <row r="71" spans="1:36">
      <c r="A71" s="34">
        <v>1885</v>
      </c>
      <c r="B71" s="43">
        <v>0.0243055555555556</v>
      </c>
      <c r="C71" s="14"/>
      <c r="D71" s="36">
        <v>0.0347222222222222</v>
      </c>
      <c r="E71" s="14"/>
      <c r="F71" s="36">
        <v>0.0666666666666667</v>
      </c>
      <c r="G71" s="14">
        <v>12</v>
      </c>
      <c r="H71" s="36">
        <v>0.075</v>
      </c>
      <c r="I71" s="14">
        <v>22</v>
      </c>
      <c r="J71" s="36">
        <v>0.0909722222222222</v>
      </c>
      <c r="K71" s="13">
        <v>17</v>
      </c>
      <c r="L71" s="65">
        <f t="shared" si="12"/>
        <v>0.0590277777777778</v>
      </c>
      <c r="M71" s="59">
        <f t="shared" si="13"/>
        <v>0.232638888888889</v>
      </c>
      <c r="U71" s="34"/>
      <c r="V71" s="43">
        <v>0.0138888888888889</v>
      </c>
      <c r="W71" s="14"/>
      <c r="X71" s="36">
        <v>0.0145833333333333</v>
      </c>
      <c r="Y71" s="14"/>
      <c r="Z71" s="110">
        <v>0.0354166666666667</v>
      </c>
      <c r="AA71" s="111">
        <v>22</v>
      </c>
      <c r="AB71" s="36">
        <v>0.0513888888888889</v>
      </c>
      <c r="AC71" s="14">
        <v>22</v>
      </c>
      <c r="AD71" s="36">
        <v>0.0743055555555556</v>
      </c>
      <c r="AE71" s="14">
        <v>22</v>
      </c>
      <c r="AF71" s="65">
        <f t="shared" si="14"/>
        <v>0.0284722222222222</v>
      </c>
      <c r="AG71" s="59">
        <f t="shared" si="15"/>
        <v>0.161111111111111</v>
      </c>
      <c r="AI71" t="s">
        <v>100</v>
      </c>
      <c r="AJ71" t="s">
        <v>101</v>
      </c>
    </row>
    <row r="72" spans="1:36">
      <c r="A72" s="34">
        <v>1936</v>
      </c>
      <c r="B72" s="43">
        <v>0.0333333333333333</v>
      </c>
      <c r="C72" s="14"/>
      <c r="D72" s="36">
        <v>0.0236111111111111</v>
      </c>
      <c r="E72" s="14"/>
      <c r="F72" s="36">
        <v>0.0416666666666667</v>
      </c>
      <c r="G72" s="14">
        <v>22</v>
      </c>
      <c r="H72" s="36">
        <v>0.0513888888888889</v>
      </c>
      <c r="I72" s="14">
        <v>22</v>
      </c>
      <c r="J72" s="36">
        <v>0.0868055555555556</v>
      </c>
      <c r="K72" s="13">
        <v>22</v>
      </c>
      <c r="L72" s="65">
        <f t="shared" si="12"/>
        <v>0.0569444444444444</v>
      </c>
      <c r="M72" s="59">
        <f t="shared" si="13"/>
        <v>0.179861111111111</v>
      </c>
      <c r="U72" s="34"/>
      <c r="V72" s="43">
        <v>0.0222222222222222</v>
      </c>
      <c r="W72" s="14"/>
      <c r="X72" s="36">
        <v>0.0138888888888889</v>
      </c>
      <c r="Y72" s="14"/>
      <c r="Z72" s="36">
        <v>0.0347222222222222</v>
      </c>
      <c r="AA72" s="14">
        <v>27</v>
      </c>
      <c r="AB72" s="36">
        <v>0.0430555555555556</v>
      </c>
      <c r="AC72" s="14">
        <v>27</v>
      </c>
      <c r="AD72" s="36">
        <v>0.0729166666666667</v>
      </c>
      <c r="AE72" s="14">
        <v>27</v>
      </c>
      <c r="AF72" s="65">
        <f t="shared" si="14"/>
        <v>0.0361111111111111</v>
      </c>
      <c r="AG72" s="59">
        <f t="shared" si="15"/>
        <v>0.150694444444445</v>
      </c>
      <c r="AI72" t="s">
        <v>102</v>
      </c>
      <c r="AJ72" t="s">
        <v>103</v>
      </c>
    </row>
    <row r="73" spans="1:36">
      <c r="A73" s="34">
        <v>1873</v>
      </c>
      <c r="B73" s="43">
        <v>0.0208333333333333</v>
      </c>
      <c r="C73" s="14"/>
      <c r="D73" s="36">
        <v>0.0173611111111111</v>
      </c>
      <c r="E73" s="14"/>
      <c r="F73" s="36">
        <v>0.0708333333333333</v>
      </c>
      <c r="G73" s="14">
        <v>22</v>
      </c>
      <c r="H73" s="36">
        <v>0.0659722222222222</v>
      </c>
      <c r="I73" s="14">
        <v>17</v>
      </c>
      <c r="J73" s="36">
        <v>0.11875</v>
      </c>
      <c r="K73" s="13">
        <v>12</v>
      </c>
      <c r="L73" s="65">
        <f t="shared" si="12"/>
        <v>0.0381944444444444</v>
      </c>
      <c r="M73" s="59">
        <f t="shared" si="13"/>
        <v>0.255555555555556</v>
      </c>
      <c r="U73" s="34"/>
      <c r="V73" s="43">
        <v>0.01875</v>
      </c>
      <c r="W73" s="14"/>
      <c r="X73" s="36">
        <v>0.0138888888888889</v>
      </c>
      <c r="Y73" s="14"/>
      <c r="Z73" s="36">
        <v>0.0402777777777778</v>
      </c>
      <c r="AA73" s="14">
        <v>27</v>
      </c>
      <c r="AB73" s="36">
        <v>0.0555555555555556</v>
      </c>
      <c r="AC73" s="14">
        <v>27</v>
      </c>
      <c r="AD73" s="36">
        <v>0.0743055555555556</v>
      </c>
      <c r="AE73" s="14">
        <v>22</v>
      </c>
      <c r="AF73" s="65">
        <f t="shared" si="14"/>
        <v>0.0326388888888889</v>
      </c>
      <c r="AG73" s="59">
        <f t="shared" si="15"/>
        <v>0.170138888888889</v>
      </c>
      <c r="AI73" t="s">
        <v>104</v>
      </c>
      <c r="AJ73" t="s">
        <v>105</v>
      </c>
    </row>
    <row r="74" spans="1:33">
      <c r="A74" s="34">
        <v>1857</v>
      </c>
      <c r="B74" s="43">
        <v>0.01875</v>
      </c>
      <c r="C74" s="14"/>
      <c r="D74" s="36">
        <v>0.0180555555555556</v>
      </c>
      <c r="E74" s="14"/>
      <c r="F74" s="36">
        <v>0.05</v>
      </c>
      <c r="G74" s="14">
        <v>22</v>
      </c>
      <c r="H74" s="36">
        <v>0.0534722222222222</v>
      </c>
      <c r="I74" s="14">
        <v>17</v>
      </c>
      <c r="J74" s="36">
        <v>0.129861111111111</v>
      </c>
      <c r="K74" s="13">
        <v>17</v>
      </c>
      <c r="L74" s="65">
        <f t="shared" si="12"/>
        <v>0.0368055555555556</v>
      </c>
      <c r="M74" s="59">
        <f t="shared" si="13"/>
        <v>0.233333333333333</v>
      </c>
      <c r="U74" s="34"/>
      <c r="V74" s="43">
        <v>0.0173611111111111</v>
      </c>
      <c r="W74" s="14"/>
      <c r="X74" s="36">
        <v>0.0152777777777778</v>
      </c>
      <c r="Y74" s="14"/>
      <c r="Z74" s="36">
        <v>0.0381944444444444</v>
      </c>
      <c r="AA74" s="14">
        <v>27</v>
      </c>
      <c r="AB74" s="36">
        <v>0.0416666666666667</v>
      </c>
      <c r="AC74" s="14">
        <v>22</v>
      </c>
      <c r="AD74" s="36">
        <v>0.1125</v>
      </c>
      <c r="AE74" s="14">
        <v>22</v>
      </c>
      <c r="AF74" s="65">
        <f t="shared" si="14"/>
        <v>0.0326388888888889</v>
      </c>
      <c r="AG74" s="59">
        <f t="shared" si="15"/>
        <v>0.192361111111111</v>
      </c>
    </row>
    <row r="75" spans="1:33">
      <c r="A75" s="34">
        <v>1844</v>
      </c>
      <c r="B75" s="43">
        <v>0.0215277777777778</v>
      </c>
      <c r="C75" s="14"/>
      <c r="D75" s="36">
        <v>0.0256944444444444</v>
      </c>
      <c r="E75" s="14"/>
      <c r="F75" s="36">
        <v>0.0472222222222222</v>
      </c>
      <c r="G75" s="14">
        <v>17</v>
      </c>
      <c r="H75" s="36">
        <v>0.0694444444444444</v>
      </c>
      <c r="I75" s="14">
        <v>17</v>
      </c>
      <c r="J75" s="36">
        <v>0.0840277777777778</v>
      </c>
      <c r="K75" s="13">
        <v>17</v>
      </c>
      <c r="L75" s="65">
        <f t="shared" si="12"/>
        <v>0.0472222222222222</v>
      </c>
      <c r="M75" s="59">
        <f t="shared" si="13"/>
        <v>0.200694444444444</v>
      </c>
      <c r="U75" s="34"/>
      <c r="V75" s="43">
        <v>0.0180555555555556</v>
      </c>
      <c r="W75" s="14"/>
      <c r="X75" s="36">
        <v>0.0222222222222222</v>
      </c>
      <c r="Y75" s="14"/>
      <c r="Z75" s="36">
        <v>0.0298611111111111</v>
      </c>
      <c r="AA75" s="14">
        <v>22</v>
      </c>
      <c r="AB75" s="36">
        <v>0.0479166666666667</v>
      </c>
      <c r="AC75" s="14">
        <v>22</v>
      </c>
      <c r="AD75" s="36">
        <v>0.0590277777777778</v>
      </c>
      <c r="AE75" s="14">
        <v>22</v>
      </c>
      <c r="AF75" s="65">
        <f t="shared" si="14"/>
        <v>0.0402777777777778</v>
      </c>
      <c r="AG75" s="59">
        <f t="shared" si="15"/>
        <v>0.136805555555556</v>
      </c>
    </row>
    <row r="76" spans="1:33">
      <c r="A76" s="34">
        <v>1797</v>
      </c>
      <c r="B76" s="43">
        <v>0.0236111111111111</v>
      </c>
      <c r="C76" s="14"/>
      <c r="D76" s="36">
        <v>0.0208333333333333</v>
      </c>
      <c r="E76" s="14"/>
      <c r="F76" s="36">
        <v>0.0895833333333333</v>
      </c>
      <c r="G76" s="14">
        <v>17</v>
      </c>
      <c r="H76" s="36">
        <v>0.0895833333333333</v>
      </c>
      <c r="I76" s="14">
        <v>17</v>
      </c>
      <c r="J76" s="36">
        <v>0.138194444444444</v>
      </c>
      <c r="K76" s="13">
        <v>17</v>
      </c>
      <c r="L76" s="65">
        <f t="shared" si="12"/>
        <v>0.0444444444444444</v>
      </c>
      <c r="M76" s="59">
        <f t="shared" si="13"/>
        <v>0.317361111111111</v>
      </c>
      <c r="U76" s="34"/>
      <c r="V76" s="43">
        <v>0.0194444444444444</v>
      </c>
      <c r="W76" s="14"/>
      <c r="X76" s="36">
        <v>0.01875</v>
      </c>
      <c r="Y76" s="14"/>
      <c r="Z76" s="36">
        <v>0.0430555555555556</v>
      </c>
      <c r="AA76" s="14">
        <v>22</v>
      </c>
      <c r="AB76" s="36">
        <v>0.0506944444444444</v>
      </c>
      <c r="AC76" s="14">
        <v>22</v>
      </c>
      <c r="AD76" s="36">
        <v>0.113194444444444</v>
      </c>
      <c r="AE76" s="14">
        <v>22</v>
      </c>
      <c r="AF76" s="65">
        <f t="shared" si="14"/>
        <v>0.0381944444444444</v>
      </c>
      <c r="AG76" s="59">
        <f t="shared" si="15"/>
        <v>0.206944444444444</v>
      </c>
    </row>
    <row r="77" spans="1:33">
      <c r="A77" s="34">
        <v>1929</v>
      </c>
      <c r="B77" s="43">
        <v>0.0256944444444444</v>
      </c>
      <c r="C77" s="14"/>
      <c r="D77" s="36">
        <v>0.0201388888888889</v>
      </c>
      <c r="E77" s="14"/>
      <c r="F77" s="36">
        <v>0.0486111111111111</v>
      </c>
      <c r="G77" s="14">
        <v>17</v>
      </c>
      <c r="H77" s="36">
        <v>0.0638888888888889</v>
      </c>
      <c r="I77" s="14">
        <v>22</v>
      </c>
      <c r="J77" s="36">
        <v>0.0833333333333333</v>
      </c>
      <c r="K77" s="13">
        <v>12</v>
      </c>
      <c r="L77" s="65">
        <f t="shared" si="12"/>
        <v>0.0458333333333333</v>
      </c>
      <c r="M77" s="59">
        <f t="shared" si="13"/>
        <v>0.195833333333333</v>
      </c>
      <c r="U77" s="34"/>
      <c r="V77" s="43">
        <v>0.0145833333333333</v>
      </c>
      <c r="W77" s="14"/>
      <c r="X77" s="36">
        <v>0.0159722222222222</v>
      </c>
      <c r="Y77" s="14"/>
      <c r="Z77" s="36">
        <v>0.0423611111111111</v>
      </c>
      <c r="AA77" s="14">
        <v>22</v>
      </c>
      <c r="AB77" s="36">
        <v>0.0409722222222222</v>
      </c>
      <c r="AC77" s="14">
        <v>27</v>
      </c>
      <c r="AD77" s="36">
        <v>0.0777777777777778</v>
      </c>
      <c r="AE77" s="14">
        <v>17</v>
      </c>
      <c r="AF77" s="65">
        <f t="shared" si="14"/>
        <v>0.0305555555555555</v>
      </c>
      <c r="AG77" s="59">
        <f t="shared" si="15"/>
        <v>0.161111111111111</v>
      </c>
    </row>
    <row r="78" spans="1:33">
      <c r="A78" s="34">
        <v>1858</v>
      </c>
      <c r="B78" s="43">
        <v>0.025</v>
      </c>
      <c r="C78" s="14"/>
      <c r="D78" s="36">
        <v>0.0145833333333333</v>
      </c>
      <c r="E78" s="14"/>
      <c r="F78" s="36">
        <v>0.0708333333333333</v>
      </c>
      <c r="G78" s="14">
        <v>22</v>
      </c>
      <c r="H78" s="36">
        <v>0.0819444444444444</v>
      </c>
      <c r="I78" s="14">
        <v>22</v>
      </c>
      <c r="J78" s="36">
        <v>0.0909722222222222</v>
      </c>
      <c r="K78" s="13">
        <v>17</v>
      </c>
      <c r="L78" s="65">
        <f t="shared" si="12"/>
        <v>0.0395833333333333</v>
      </c>
      <c r="M78" s="59">
        <f t="shared" si="13"/>
        <v>0.24375</v>
      </c>
      <c r="U78" s="34"/>
      <c r="V78" s="43">
        <v>0.0152777777777778</v>
      </c>
      <c r="W78" s="14"/>
      <c r="X78" s="36">
        <v>0.0125</v>
      </c>
      <c r="Y78" s="14"/>
      <c r="Z78" s="36">
        <v>0.0395833333333333</v>
      </c>
      <c r="AA78" s="14">
        <v>27</v>
      </c>
      <c r="AB78" s="36">
        <v>0.0395833333333333</v>
      </c>
      <c r="AC78" s="14">
        <v>27</v>
      </c>
      <c r="AD78" s="36">
        <v>0.0770833333333333</v>
      </c>
      <c r="AE78" s="14">
        <v>22</v>
      </c>
      <c r="AF78" s="65">
        <f t="shared" si="14"/>
        <v>0.0277777777777778</v>
      </c>
      <c r="AG78" s="59">
        <f t="shared" si="15"/>
        <v>0.15625</v>
      </c>
    </row>
    <row r="79" spans="1:33">
      <c r="A79" s="34">
        <v>1930</v>
      </c>
      <c r="B79" s="43">
        <v>0.0305555555555556</v>
      </c>
      <c r="C79" s="14"/>
      <c r="D79" s="36">
        <v>0.0298611111111111</v>
      </c>
      <c r="E79" s="14"/>
      <c r="F79" s="36">
        <v>0.0493055555555556</v>
      </c>
      <c r="G79" s="14">
        <v>22</v>
      </c>
      <c r="H79" s="36">
        <v>0.0444444444444444</v>
      </c>
      <c r="I79" s="14">
        <v>22</v>
      </c>
      <c r="J79" s="36">
        <v>0.0847222222222222</v>
      </c>
      <c r="K79" s="13">
        <v>27</v>
      </c>
      <c r="L79" s="65">
        <f t="shared" si="12"/>
        <v>0.0604166666666667</v>
      </c>
      <c r="M79" s="59">
        <f t="shared" si="13"/>
        <v>0.178472222222222</v>
      </c>
      <c r="U79" s="34"/>
      <c r="V79" s="43">
        <v>0.0215277777777778</v>
      </c>
      <c r="W79" s="14"/>
      <c r="X79" s="36">
        <v>0.0201388888888889</v>
      </c>
      <c r="Y79" s="14"/>
      <c r="Z79" s="36">
        <v>0.0347222222222222</v>
      </c>
      <c r="AA79" s="14">
        <v>27</v>
      </c>
      <c r="AB79" s="36">
        <v>0.0340277777777778</v>
      </c>
      <c r="AC79" s="14">
        <v>27</v>
      </c>
      <c r="AD79" s="36">
        <v>0.0715277777777778</v>
      </c>
      <c r="AE79" s="14">
        <v>27</v>
      </c>
      <c r="AF79" s="65">
        <f t="shared" si="14"/>
        <v>0.0416666666666667</v>
      </c>
      <c r="AG79" s="59">
        <f t="shared" si="15"/>
        <v>0.140277777777778</v>
      </c>
    </row>
    <row r="80" spans="1:33">
      <c r="A80" s="34">
        <v>1737</v>
      </c>
      <c r="B80" s="43">
        <v>0.0326388888888889</v>
      </c>
      <c r="C80" s="14"/>
      <c r="D80" s="36">
        <v>0.0229166666666667</v>
      </c>
      <c r="E80" s="14"/>
      <c r="F80" s="36">
        <v>0.0506944444444444</v>
      </c>
      <c r="G80" s="14">
        <v>22</v>
      </c>
      <c r="H80" s="36">
        <v>0.0430555555555556</v>
      </c>
      <c r="I80" s="14">
        <v>17</v>
      </c>
      <c r="J80" s="36">
        <v>0.0854166666666667</v>
      </c>
      <c r="K80" s="13">
        <v>22</v>
      </c>
      <c r="L80" s="65">
        <f t="shared" si="12"/>
        <v>0.0555555555555556</v>
      </c>
      <c r="M80" s="59">
        <f t="shared" si="13"/>
        <v>0.179166666666667</v>
      </c>
      <c r="U80" s="34"/>
      <c r="V80" s="43">
        <v>0.0243055555555556</v>
      </c>
      <c r="W80" s="14"/>
      <c r="X80" s="36">
        <v>0.0173611111111111</v>
      </c>
      <c r="Y80" s="14"/>
      <c r="Z80" s="36">
        <v>0.0340277777777778</v>
      </c>
      <c r="AA80" s="14">
        <v>22</v>
      </c>
      <c r="AB80" s="36">
        <v>0.0381944444444444</v>
      </c>
      <c r="AC80" s="14">
        <v>22</v>
      </c>
      <c r="AD80" s="36">
        <v>0.0708333333333333</v>
      </c>
      <c r="AE80" s="14">
        <v>27</v>
      </c>
      <c r="AF80" s="65">
        <f t="shared" si="14"/>
        <v>0.0416666666666667</v>
      </c>
      <c r="AG80" s="59">
        <f t="shared" si="15"/>
        <v>0.143055555555555</v>
      </c>
    </row>
    <row r="81" spans="1:33">
      <c r="A81" s="34">
        <v>1893</v>
      </c>
      <c r="B81" s="43">
        <v>0.0236111111111111</v>
      </c>
      <c r="C81" s="14"/>
      <c r="D81" s="36">
        <v>0.04375</v>
      </c>
      <c r="E81" s="14"/>
      <c r="F81" s="36">
        <v>0.0972222222222222</v>
      </c>
      <c r="G81" s="14">
        <v>22</v>
      </c>
      <c r="H81" s="36">
        <v>0.103472222222222</v>
      </c>
      <c r="I81" s="14">
        <v>17</v>
      </c>
      <c r="J81" s="36">
        <v>0.139583333333333</v>
      </c>
      <c r="K81" s="13">
        <v>17</v>
      </c>
      <c r="L81" s="65">
        <f t="shared" si="12"/>
        <v>0.0673611111111111</v>
      </c>
      <c r="M81" s="59">
        <f t="shared" si="13"/>
        <v>0.340277777777777</v>
      </c>
      <c r="U81" s="34"/>
      <c r="V81" s="43">
        <v>0.0194444444444444</v>
      </c>
      <c r="W81" s="14"/>
      <c r="X81" s="36">
        <v>0.0270833333333333</v>
      </c>
      <c r="Y81" s="14"/>
      <c r="Z81" s="36">
        <v>0.05</v>
      </c>
      <c r="AA81" s="14">
        <v>27</v>
      </c>
      <c r="AB81" s="36">
        <v>0.0680555555555555</v>
      </c>
      <c r="AC81" s="14">
        <v>22</v>
      </c>
      <c r="AD81" s="36">
        <v>0.118055555555556</v>
      </c>
      <c r="AE81" s="14">
        <v>22</v>
      </c>
      <c r="AF81" s="65">
        <f t="shared" si="14"/>
        <v>0.0465277777777777</v>
      </c>
      <c r="AG81" s="59">
        <f t="shared" si="15"/>
        <v>0.236111111111111</v>
      </c>
    </row>
    <row r="82" spans="1:33">
      <c r="A82" s="34">
        <v>1826</v>
      </c>
      <c r="B82" s="43">
        <v>0.0256944444444444</v>
      </c>
      <c r="C82" s="14"/>
      <c r="D82" s="36">
        <v>0.0173611111111111</v>
      </c>
      <c r="E82" s="14"/>
      <c r="F82" s="36">
        <v>0.0423611111111111</v>
      </c>
      <c r="G82" s="14">
        <v>17</v>
      </c>
      <c r="H82" s="36">
        <v>0.0423611111111111</v>
      </c>
      <c r="I82" s="14">
        <v>17</v>
      </c>
      <c r="J82" s="36">
        <v>0.0993055555555555</v>
      </c>
      <c r="K82" s="13">
        <v>17</v>
      </c>
      <c r="L82" s="65">
        <f t="shared" si="12"/>
        <v>0.0430555555555555</v>
      </c>
      <c r="M82" s="59">
        <f t="shared" si="13"/>
        <v>0.184027777777778</v>
      </c>
      <c r="U82" s="34"/>
      <c r="V82" s="43">
        <v>0.01875</v>
      </c>
      <c r="W82" s="14"/>
      <c r="X82" s="36">
        <v>0.0125</v>
      </c>
      <c r="Y82" s="14"/>
      <c r="Z82" s="36">
        <v>0.0347222222222222</v>
      </c>
      <c r="AA82" s="14">
        <v>22</v>
      </c>
      <c r="AB82" s="36">
        <v>0.0340277777777778</v>
      </c>
      <c r="AC82" s="14">
        <v>22</v>
      </c>
      <c r="AD82" s="36">
        <v>0.0756944444444444</v>
      </c>
      <c r="AE82" s="14">
        <v>22</v>
      </c>
      <c r="AF82" s="65">
        <f t="shared" si="14"/>
        <v>0.03125</v>
      </c>
      <c r="AG82" s="59">
        <f t="shared" si="15"/>
        <v>0.144444444444444</v>
      </c>
    </row>
    <row r="83" spans="1:33">
      <c r="A83" s="34">
        <v>1897</v>
      </c>
      <c r="B83" s="43">
        <v>0.01875</v>
      </c>
      <c r="C83" s="14"/>
      <c r="D83" s="36">
        <v>0.0152777777777778</v>
      </c>
      <c r="E83" s="14"/>
      <c r="F83" s="36">
        <v>0.0888888888888889</v>
      </c>
      <c r="G83" s="14">
        <v>22</v>
      </c>
      <c r="H83" s="36">
        <v>0.0555555555555556</v>
      </c>
      <c r="I83" s="14">
        <v>17</v>
      </c>
      <c r="J83" s="36">
        <v>0.125</v>
      </c>
      <c r="K83" s="13">
        <v>22</v>
      </c>
      <c r="L83" s="65">
        <f t="shared" si="12"/>
        <v>0.0340277777777778</v>
      </c>
      <c r="M83" s="59">
        <f t="shared" si="13"/>
        <v>0.269444444444444</v>
      </c>
      <c r="U83" s="34"/>
      <c r="V83" s="43">
        <v>0.0152777777777778</v>
      </c>
      <c r="W83" s="14"/>
      <c r="X83" s="36">
        <v>0.0118055555555556</v>
      </c>
      <c r="Y83" s="14"/>
      <c r="Z83" s="36">
        <v>0.0729166666666667</v>
      </c>
      <c r="AA83" s="14">
        <v>27</v>
      </c>
      <c r="AB83" s="36">
        <v>0.0402777777777778</v>
      </c>
      <c r="AC83" s="14">
        <v>22</v>
      </c>
      <c r="AD83" s="36">
        <v>0.115277777777778</v>
      </c>
      <c r="AE83" s="14">
        <v>27</v>
      </c>
      <c r="AF83" s="65">
        <f t="shared" si="14"/>
        <v>0.0270833333333334</v>
      </c>
      <c r="AG83" s="59">
        <f t="shared" si="15"/>
        <v>0.228472222222223</v>
      </c>
    </row>
    <row r="84" spans="1:33">
      <c r="A84" s="34">
        <v>1900</v>
      </c>
      <c r="B84" s="43">
        <v>0.0215277777777778</v>
      </c>
      <c r="C84" s="14"/>
      <c r="D84" s="36">
        <v>0.0381944444444444</v>
      </c>
      <c r="E84" s="14"/>
      <c r="F84" s="36">
        <v>0.0944444444444444</v>
      </c>
      <c r="G84" s="14">
        <v>12</v>
      </c>
      <c r="H84" s="36">
        <v>0.0583333333333333</v>
      </c>
      <c r="I84" s="14">
        <v>12</v>
      </c>
      <c r="J84" s="36">
        <v>0.101388888888889</v>
      </c>
      <c r="K84" s="13">
        <v>17</v>
      </c>
      <c r="L84" s="65">
        <f t="shared" si="12"/>
        <v>0.0597222222222222</v>
      </c>
      <c r="M84" s="59">
        <f t="shared" si="13"/>
        <v>0.254166666666667</v>
      </c>
      <c r="U84" s="34"/>
      <c r="V84" s="43">
        <v>0.0166666666666667</v>
      </c>
      <c r="W84" s="14"/>
      <c r="X84" s="36">
        <v>0.0270833333333333</v>
      </c>
      <c r="Y84" s="14"/>
      <c r="Z84" s="36">
        <v>0.0736111111111111</v>
      </c>
      <c r="AA84" s="14">
        <v>22</v>
      </c>
      <c r="AB84" s="36">
        <v>0.0388888888888889</v>
      </c>
      <c r="AC84" s="14">
        <v>22</v>
      </c>
      <c r="AD84" s="36">
        <v>0.0715277777777778</v>
      </c>
      <c r="AE84" s="14">
        <v>27</v>
      </c>
      <c r="AF84" s="65">
        <f t="shared" si="14"/>
        <v>0.04375</v>
      </c>
      <c r="AG84" s="59">
        <f t="shared" si="15"/>
        <v>0.184027777777778</v>
      </c>
    </row>
    <row r="85" spans="1:33">
      <c r="A85" s="37">
        <v>1775</v>
      </c>
      <c r="B85" s="44">
        <v>0.0173611111111111</v>
      </c>
      <c r="C85" s="24"/>
      <c r="D85" s="39">
        <v>0.0243055555555556</v>
      </c>
      <c r="E85" s="24"/>
      <c r="F85" s="39">
        <v>0.0875</v>
      </c>
      <c r="G85" s="24">
        <v>27</v>
      </c>
      <c r="H85" s="39">
        <v>0.0722222222222222</v>
      </c>
      <c r="I85" s="24">
        <v>22</v>
      </c>
      <c r="J85" s="39">
        <v>0.0902777777777778</v>
      </c>
      <c r="K85" s="23">
        <v>22</v>
      </c>
      <c r="L85" s="66">
        <f t="shared" si="12"/>
        <v>0.0416666666666667</v>
      </c>
      <c r="M85" s="61">
        <f t="shared" si="13"/>
        <v>0.25</v>
      </c>
      <c r="U85" s="37"/>
      <c r="V85" s="44">
        <v>0.0125</v>
      </c>
      <c r="W85" s="24"/>
      <c r="X85" s="39">
        <v>0.0194444444444444</v>
      </c>
      <c r="Y85" s="24"/>
      <c r="Z85" s="39">
        <v>0.0743055555555556</v>
      </c>
      <c r="AA85" s="24">
        <v>27</v>
      </c>
      <c r="AB85" s="39">
        <v>0.0409722222222222</v>
      </c>
      <c r="AC85" s="24">
        <v>27</v>
      </c>
      <c r="AD85" s="39">
        <v>0.0604166666666667</v>
      </c>
      <c r="AE85" s="24">
        <v>27</v>
      </c>
      <c r="AF85" s="66">
        <f t="shared" si="14"/>
        <v>0.0319444444444444</v>
      </c>
      <c r="AG85" s="61">
        <f t="shared" si="15"/>
        <v>0.175694444444444</v>
      </c>
    </row>
    <row r="86" spans="1:34">
      <c r="A86" s="40"/>
      <c r="L86">
        <v>1251</v>
      </c>
      <c r="M86">
        <v>5685</v>
      </c>
      <c r="N86">
        <v>6936</v>
      </c>
      <c r="O86">
        <f>ABS((N86-AH86)/N86)</f>
        <v>0.259515570934256</v>
      </c>
      <c r="U86" s="40"/>
      <c r="AF86">
        <v>889</v>
      </c>
      <c r="AG86">
        <v>4247</v>
      </c>
      <c r="AH86">
        <v>5136</v>
      </c>
    </row>
    <row r="87" spans="1:23">
      <c r="A87" s="40"/>
      <c r="B87" s="104" t="s">
        <v>96</v>
      </c>
      <c r="C87" s="104" t="s">
        <v>79</v>
      </c>
      <c r="U87" s="40"/>
      <c r="V87" s="104" t="s">
        <v>96</v>
      </c>
      <c r="W87" s="104" t="s">
        <v>79</v>
      </c>
    </row>
    <row r="88" spans="1:33">
      <c r="A88" s="40"/>
      <c r="B88" s="27" t="s">
        <v>81</v>
      </c>
      <c r="C88" s="105"/>
      <c r="D88" s="27" t="s">
        <v>82</v>
      </c>
      <c r="E88" s="28"/>
      <c r="F88" s="27" t="s">
        <v>106</v>
      </c>
      <c r="G88" s="28"/>
      <c r="H88" s="27" t="s">
        <v>83</v>
      </c>
      <c r="I88" s="28"/>
      <c r="J88" s="27" t="s">
        <v>84</v>
      </c>
      <c r="K88" s="28"/>
      <c r="L88" s="27" t="s">
        <v>85</v>
      </c>
      <c r="M88" s="28"/>
      <c r="U88" s="40"/>
      <c r="V88" s="27" t="s">
        <v>81</v>
      </c>
      <c r="W88" s="28"/>
      <c r="X88" s="27" t="s">
        <v>82</v>
      </c>
      <c r="Y88" s="28"/>
      <c r="Z88" s="27" t="s">
        <v>106</v>
      </c>
      <c r="AA88" s="28"/>
      <c r="AB88" s="27" t="s">
        <v>83</v>
      </c>
      <c r="AC88" s="28"/>
      <c r="AD88" s="27" t="s">
        <v>84</v>
      </c>
      <c r="AE88" s="28"/>
      <c r="AF88" s="27" t="s">
        <v>85</v>
      </c>
      <c r="AG88" s="28"/>
    </row>
    <row r="89" spans="1:35">
      <c r="A89" s="40"/>
      <c r="B89" s="2" t="s">
        <v>87</v>
      </c>
      <c r="C89" s="29" t="s">
        <v>88</v>
      </c>
      <c r="D89" s="2" t="s">
        <v>87</v>
      </c>
      <c r="E89" s="29" t="s">
        <v>88</v>
      </c>
      <c r="F89" s="2" t="s">
        <v>87</v>
      </c>
      <c r="G89" s="29" t="s">
        <v>88</v>
      </c>
      <c r="H89" s="2" t="s">
        <v>87</v>
      </c>
      <c r="I89" s="29" t="s">
        <v>88</v>
      </c>
      <c r="J89" s="2" t="s">
        <v>87</v>
      </c>
      <c r="K89" s="29" t="s">
        <v>88</v>
      </c>
      <c r="L89" s="3" t="s">
        <v>87</v>
      </c>
      <c r="M89" s="29" t="s">
        <v>88</v>
      </c>
      <c r="N89" s="109" t="s">
        <v>89</v>
      </c>
      <c r="O89" s="109" t="s">
        <v>90</v>
      </c>
      <c r="U89" s="40"/>
      <c r="V89" s="2" t="s">
        <v>87</v>
      </c>
      <c r="W89" s="29" t="s">
        <v>88</v>
      </c>
      <c r="X89" s="2" t="s">
        <v>87</v>
      </c>
      <c r="Y89" s="29" t="s">
        <v>88</v>
      </c>
      <c r="Z89" s="2" t="s">
        <v>87</v>
      </c>
      <c r="AA89" s="29" t="s">
        <v>88</v>
      </c>
      <c r="AB89" s="2" t="s">
        <v>87</v>
      </c>
      <c r="AC89" s="29" t="s">
        <v>88</v>
      </c>
      <c r="AD89" s="2" t="s">
        <v>87</v>
      </c>
      <c r="AE89" s="29" t="s">
        <v>88</v>
      </c>
      <c r="AF89" s="3" t="s">
        <v>87</v>
      </c>
      <c r="AG89" s="29" t="s">
        <v>88</v>
      </c>
      <c r="AH89" s="109" t="s">
        <v>89</v>
      </c>
      <c r="AI89" s="113" t="s">
        <v>90</v>
      </c>
    </row>
    <row r="90" spans="1:35">
      <c r="A90" s="30">
        <v>1821</v>
      </c>
      <c r="B90" s="42">
        <v>0.00833333333333333</v>
      </c>
      <c r="C90" s="32">
        <v>16</v>
      </c>
      <c r="D90" s="33">
        <v>0.0416666666666667</v>
      </c>
      <c r="E90" s="32">
        <v>16</v>
      </c>
      <c r="F90" s="33">
        <v>0.00833333333333333</v>
      </c>
      <c r="G90" s="32">
        <v>16</v>
      </c>
      <c r="H90" s="33">
        <v>0.0930555555555556</v>
      </c>
      <c r="I90" s="32">
        <v>22</v>
      </c>
      <c r="J90" s="33">
        <v>0.147916666666667</v>
      </c>
      <c r="K90" s="32">
        <v>12</v>
      </c>
      <c r="L90" s="33">
        <v>0.157638888888889</v>
      </c>
      <c r="M90" s="32">
        <v>22</v>
      </c>
      <c r="N90" s="64">
        <f t="shared" ref="N90:N106" si="16">SUM(B90,D90,F90)</f>
        <v>0.0583333333333334</v>
      </c>
      <c r="O90" s="57">
        <f t="shared" ref="O90:O106" si="17">SUM(H90,J90,L90)</f>
        <v>0.398611111111112</v>
      </c>
      <c r="U90" s="30"/>
      <c r="V90" s="42">
        <v>0.00763888888888889</v>
      </c>
      <c r="W90" s="32">
        <v>16</v>
      </c>
      <c r="X90" s="33">
        <v>0.0298611111111111</v>
      </c>
      <c r="Y90" s="32">
        <v>16</v>
      </c>
      <c r="Z90" s="33">
        <v>0.00625</v>
      </c>
      <c r="AA90" s="32">
        <v>16</v>
      </c>
      <c r="AB90" s="33">
        <v>0.0430555555555556</v>
      </c>
      <c r="AC90" s="32">
        <v>22</v>
      </c>
      <c r="AD90" s="33">
        <v>0.0875</v>
      </c>
      <c r="AE90" s="32">
        <v>17</v>
      </c>
      <c r="AF90" s="33">
        <v>0.0923611111111111</v>
      </c>
      <c r="AG90" s="32">
        <v>27</v>
      </c>
      <c r="AH90" s="64">
        <f t="shared" ref="AH90:AH106" si="18">SUM(V90,X90,Z90)</f>
        <v>0.04375</v>
      </c>
      <c r="AI90" s="57">
        <f t="shared" ref="AI90:AI106" si="19">SUM(AB90,AD90,AF90)</f>
        <v>0.222916666666667</v>
      </c>
    </row>
    <row r="91" spans="1:35">
      <c r="A91" s="34">
        <v>1776</v>
      </c>
      <c r="B91" s="43">
        <v>0.00833333333333333</v>
      </c>
      <c r="C91" s="14"/>
      <c r="D91" s="36">
        <v>0.0402777777777778</v>
      </c>
      <c r="E91" s="14"/>
      <c r="F91" s="36">
        <v>0.00694444444444444</v>
      </c>
      <c r="G91" s="14"/>
      <c r="H91" s="36">
        <v>0.0729166666666667</v>
      </c>
      <c r="I91" s="14">
        <v>17</v>
      </c>
      <c r="J91" s="36">
        <v>0.0819444444444444</v>
      </c>
      <c r="K91" s="14">
        <v>22</v>
      </c>
      <c r="L91" s="36">
        <v>0.124305555555556</v>
      </c>
      <c r="M91" s="14">
        <v>17</v>
      </c>
      <c r="N91" s="65">
        <f t="shared" si="16"/>
        <v>0.0555555555555556</v>
      </c>
      <c r="O91" s="59">
        <f t="shared" si="17"/>
        <v>0.279166666666667</v>
      </c>
      <c r="U91" s="34"/>
      <c r="V91" s="43">
        <v>0.00694444444444444</v>
      </c>
      <c r="W91" s="14"/>
      <c r="X91" s="36">
        <v>0.0145833333333333</v>
      </c>
      <c r="Y91" s="14"/>
      <c r="Z91" s="36">
        <v>0.00486111111111111</v>
      </c>
      <c r="AA91" s="14"/>
      <c r="AB91" s="36">
        <v>0.0597222222222222</v>
      </c>
      <c r="AC91" s="14">
        <v>17</v>
      </c>
      <c r="AD91" s="36">
        <v>0.0583333333333333</v>
      </c>
      <c r="AE91" s="14">
        <v>22</v>
      </c>
      <c r="AF91" s="36">
        <v>0.107638888888889</v>
      </c>
      <c r="AG91" s="14">
        <v>17</v>
      </c>
      <c r="AH91" s="65">
        <f t="shared" si="18"/>
        <v>0.0263888888888889</v>
      </c>
      <c r="AI91" s="59">
        <f t="shared" si="19"/>
        <v>0.225694444444445</v>
      </c>
    </row>
    <row r="92" spans="1:35">
      <c r="A92" s="34">
        <v>1885</v>
      </c>
      <c r="B92" s="43">
        <v>0.00763888888888889</v>
      </c>
      <c r="C92" s="14"/>
      <c r="D92" s="36">
        <v>0.0395833333333333</v>
      </c>
      <c r="E92" s="14"/>
      <c r="F92" s="36">
        <v>0.00972222222222222</v>
      </c>
      <c r="G92" s="14"/>
      <c r="H92" s="36">
        <v>0.0625</v>
      </c>
      <c r="I92" s="14">
        <v>17</v>
      </c>
      <c r="J92" s="36">
        <v>0.126388888888889</v>
      </c>
      <c r="K92" s="14">
        <v>17</v>
      </c>
      <c r="L92" s="36">
        <v>0.133333333333333</v>
      </c>
      <c r="M92" s="14">
        <v>17</v>
      </c>
      <c r="N92" s="65">
        <f t="shared" si="16"/>
        <v>0.0569444444444444</v>
      </c>
      <c r="O92" s="59">
        <f t="shared" si="17"/>
        <v>0.322222222222222</v>
      </c>
      <c r="U92" s="34"/>
      <c r="V92" s="43">
        <v>0.00555555555555556</v>
      </c>
      <c r="W92" s="14"/>
      <c r="X92" s="36">
        <v>0.0173611111111111</v>
      </c>
      <c r="Y92" s="14"/>
      <c r="Z92" s="36">
        <v>0.00694444444444444</v>
      </c>
      <c r="AA92" s="14"/>
      <c r="AB92" s="36">
        <v>0.0444444444444444</v>
      </c>
      <c r="AC92" s="14">
        <v>22</v>
      </c>
      <c r="AD92" s="36">
        <v>0.0847222222222222</v>
      </c>
      <c r="AE92" s="14">
        <v>17</v>
      </c>
      <c r="AF92" s="36">
        <v>0.102777777777778</v>
      </c>
      <c r="AG92" s="14">
        <v>17</v>
      </c>
      <c r="AH92" s="65">
        <f t="shared" si="18"/>
        <v>0.0298611111111111</v>
      </c>
      <c r="AI92" s="59">
        <f t="shared" si="19"/>
        <v>0.231944444444445</v>
      </c>
    </row>
    <row r="93" spans="1:35">
      <c r="A93" s="34">
        <v>1936</v>
      </c>
      <c r="B93" s="43">
        <v>0.0180555555555556</v>
      </c>
      <c r="C93" s="14"/>
      <c r="D93" s="36">
        <v>0.0319444444444444</v>
      </c>
      <c r="E93" s="14"/>
      <c r="F93" s="36">
        <v>0.0152777777777778</v>
      </c>
      <c r="G93" s="14"/>
      <c r="H93" s="36">
        <v>0.0854166666666667</v>
      </c>
      <c r="I93" s="14">
        <v>22</v>
      </c>
      <c r="J93" s="36">
        <v>0.0895833333333333</v>
      </c>
      <c r="K93" s="14">
        <v>22</v>
      </c>
      <c r="L93" s="36">
        <v>0.127083333333333</v>
      </c>
      <c r="M93" s="14">
        <v>22</v>
      </c>
      <c r="N93" s="65">
        <f t="shared" si="16"/>
        <v>0.0652777777777778</v>
      </c>
      <c r="O93" s="59">
        <f t="shared" si="17"/>
        <v>0.302083333333333</v>
      </c>
      <c r="U93" s="34"/>
      <c r="V93" s="43">
        <v>0.0104166666666667</v>
      </c>
      <c r="W93" s="14"/>
      <c r="X93" s="36">
        <v>0.0138888888888889</v>
      </c>
      <c r="Y93" s="14"/>
      <c r="Z93" s="36">
        <v>0.00625</v>
      </c>
      <c r="AA93" s="14"/>
      <c r="AB93" s="36">
        <v>0.0416666666666667</v>
      </c>
      <c r="AC93" s="14">
        <v>27</v>
      </c>
      <c r="AD93" s="36">
        <v>0.05625</v>
      </c>
      <c r="AE93" s="14">
        <v>27</v>
      </c>
      <c r="AF93" s="36">
        <v>0.111805555555556</v>
      </c>
      <c r="AG93" s="14">
        <v>27</v>
      </c>
      <c r="AH93" s="65">
        <f t="shared" si="18"/>
        <v>0.0305555555555556</v>
      </c>
      <c r="AI93" s="59">
        <f t="shared" si="19"/>
        <v>0.209722222222223</v>
      </c>
    </row>
    <row r="94" spans="1:35">
      <c r="A94" s="34">
        <v>1873</v>
      </c>
      <c r="B94" s="43">
        <v>0.0111111111111111</v>
      </c>
      <c r="C94" s="14"/>
      <c r="D94" s="36">
        <v>0.0277777777777778</v>
      </c>
      <c r="E94" s="14"/>
      <c r="F94" s="36">
        <v>0.0173611111111111</v>
      </c>
      <c r="G94" s="14"/>
      <c r="H94" s="36">
        <v>0.0722222222222222</v>
      </c>
      <c r="I94" s="14">
        <v>22</v>
      </c>
      <c r="J94" s="36">
        <v>0.140972222222222</v>
      </c>
      <c r="K94" s="14">
        <v>12</v>
      </c>
      <c r="L94" s="36">
        <v>0.11875</v>
      </c>
      <c r="M94" s="14">
        <v>17</v>
      </c>
      <c r="N94" s="65">
        <f t="shared" si="16"/>
        <v>0.05625</v>
      </c>
      <c r="O94" s="59">
        <f t="shared" si="17"/>
        <v>0.331944444444444</v>
      </c>
      <c r="U94" s="34"/>
      <c r="V94" s="43">
        <v>0.00694444444444444</v>
      </c>
      <c r="W94" s="14"/>
      <c r="X94" s="36">
        <v>0.0173611111111111</v>
      </c>
      <c r="Y94" s="14"/>
      <c r="Z94" s="36">
        <v>0.00763888888888889</v>
      </c>
      <c r="AA94" s="14"/>
      <c r="AB94" s="36">
        <v>0.0590277777777778</v>
      </c>
      <c r="AC94" s="14">
        <v>27</v>
      </c>
      <c r="AD94" s="36">
        <v>0.0833333333333333</v>
      </c>
      <c r="AE94" s="14">
        <v>22</v>
      </c>
      <c r="AF94" s="36">
        <v>0.0902777777777778</v>
      </c>
      <c r="AG94" s="14">
        <v>27</v>
      </c>
      <c r="AH94" s="65">
        <f t="shared" si="18"/>
        <v>0.0319444444444444</v>
      </c>
      <c r="AI94" s="59">
        <f t="shared" si="19"/>
        <v>0.232638888888889</v>
      </c>
    </row>
    <row r="95" spans="1:35">
      <c r="A95" s="34">
        <v>1857</v>
      </c>
      <c r="B95" s="43">
        <v>0.00972222222222222</v>
      </c>
      <c r="C95" s="14"/>
      <c r="D95" s="36">
        <v>0.0236111111111111</v>
      </c>
      <c r="E95" s="14"/>
      <c r="F95" s="36">
        <v>0.0159722222222222</v>
      </c>
      <c r="G95" s="14"/>
      <c r="H95" s="36">
        <v>0.118055555555556</v>
      </c>
      <c r="I95" s="14">
        <v>17</v>
      </c>
      <c r="J95" s="36">
        <v>0.118055555555556</v>
      </c>
      <c r="K95" s="14">
        <v>12</v>
      </c>
      <c r="L95" s="36">
        <v>0.138888888888889</v>
      </c>
      <c r="M95" s="14">
        <v>22</v>
      </c>
      <c r="N95" s="65">
        <f t="shared" si="16"/>
        <v>0.0493055555555555</v>
      </c>
      <c r="O95" s="59">
        <f t="shared" si="17"/>
        <v>0.375000000000001</v>
      </c>
      <c r="U95" s="34"/>
      <c r="V95" s="43">
        <v>0.00625</v>
      </c>
      <c r="W95" s="14"/>
      <c r="X95" s="36">
        <v>0.0152777777777778</v>
      </c>
      <c r="Y95" s="14"/>
      <c r="Z95" s="36">
        <v>0.0104166666666667</v>
      </c>
      <c r="AA95" s="14"/>
      <c r="AB95" s="36">
        <v>0.0840277777777778</v>
      </c>
      <c r="AC95" s="14">
        <v>22</v>
      </c>
      <c r="AD95" s="36">
        <v>0.0847222222222222</v>
      </c>
      <c r="AE95" s="14">
        <v>22</v>
      </c>
      <c r="AF95" s="36">
        <v>0.109027777777778</v>
      </c>
      <c r="AG95" s="14">
        <v>27</v>
      </c>
      <c r="AH95" s="65">
        <f t="shared" si="18"/>
        <v>0.0319444444444445</v>
      </c>
      <c r="AI95" s="59">
        <f t="shared" si="19"/>
        <v>0.277777777777778</v>
      </c>
    </row>
    <row r="96" spans="1:35">
      <c r="A96" s="34">
        <v>1844</v>
      </c>
      <c r="B96" s="43">
        <v>0.00902777777777778</v>
      </c>
      <c r="C96" s="14"/>
      <c r="D96" s="36">
        <v>0.0354166666666667</v>
      </c>
      <c r="E96" s="14"/>
      <c r="F96" s="36">
        <v>0.0104166666666667</v>
      </c>
      <c r="G96" s="14"/>
      <c r="H96" s="36">
        <v>0.153472222222222</v>
      </c>
      <c r="I96" s="14">
        <v>17</v>
      </c>
      <c r="J96" s="36">
        <v>0.0854166666666667</v>
      </c>
      <c r="K96" s="14">
        <v>17</v>
      </c>
      <c r="L96" s="36">
        <v>0.128472222222222</v>
      </c>
      <c r="M96" s="14">
        <v>17</v>
      </c>
      <c r="N96" s="65">
        <f t="shared" si="16"/>
        <v>0.0548611111111112</v>
      </c>
      <c r="O96" s="59">
        <f t="shared" si="17"/>
        <v>0.367361111111111</v>
      </c>
      <c r="U96" s="34"/>
      <c r="V96" s="43">
        <v>0.00555555555555556</v>
      </c>
      <c r="W96" s="14"/>
      <c r="X96" s="36">
        <v>0.0208333333333333</v>
      </c>
      <c r="Y96" s="14"/>
      <c r="Z96" s="36">
        <v>0.00625</v>
      </c>
      <c r="AA96" s="14"/>
      <c r="AB96" s="36">
        <v>0.102083333333333</v>
      </c>
      <c r="AC96" s="14">
        <v>22</v>
      </c>
      <c r="AD96" s="36">
        <v>0.0590277777777778</v>
      </c>
      <c r="AE96" s="14">
        <v>22</v>
      </c>
      <c r="AF96" s="36">
        <v>0.0944444444444444</v>
      </c>
      <c r="AG96" s="14">
        <v>22</v>
      </c>
      <c r="AH96" s="65">
        <f t="shared" si="18"/>
        <v>0.0326388888888889</v>
      </c>
      <c r="AI96" s="59">
        <f t="shared" si="19"/>
        <v>0.255555555555555</v>
      </c>
    </row>
    <row r="97" spans="1:35">
      <c r="A97" s="34">
        <v>1797</v>
      </c>
      <c r="B97" s="43">
        <v>0.0118055555555556</v>
      </c>
      <c r="C97" s="14"/>
      <c r="D97" s="36">
        <v>0.0284722222222222</v>
      </c>
      <c r="E97" s="14"/>
      <c r="F97" s="36">
        <v>0.0104166666666667</v>
      </c>
      <c r="G97" s="14"/>
      <c r="H97" s="36">
        <v>0.118055555555556</v>
      </c>
      <c r="I97" s="14">
        <v>17</v>
      </c>
      <c r="J97" s="36">
        <v>0.0694444444444444</v>
      </c>
      <c r="K97" s="14">
        <v>17</v>
      </c>
      <c r="L97" s="36">
        <v>0.138194444444444</v>
      </c>
      <c r="M97" s="14">
        <v>17</v>
      </c>
      <c r="N97" s="65">
        <f t="shared" si="16"/>
        <v>0.0506944444444445</v>
      </c>
      <c r="O97" s="59">
        <f t="shared" si="17"/>
        <v>0.325694444444444</v>
      </c>
      <c r="U97" s="34"/>
      <c r="V97" s="43">
        <v>0.00694444444444444</v>
      </c>
      <c r="W97" s="14"/>
      <c r="X97" s="36">
        <v>0.0215277777777778</v>
      </c>
      <c r="Y97" s="14"/>
      <c r="Z97" s="36">
        <v>0.00833333333333333</v>
      </c>
      <c r="AA97" s="14"/>
      <c r="AB97" s="36">
        <v>0.0826388888888889</v>
      </c>
      <c r="AC97" s="14">
        <v>22</v>
      </c>
      <c r="AD97" s="36">
        <v>0.0423611111111111</v>
      </c>
      <c r="AE97" s="14">
        <v>22</v>
      </c>
      <c r="AF97" s="36">
        <v>0.115972222222222</v>
      </c>
      <c r="AG97" s="14">
        <v>22</v>
      </c>
      <c r="AH97" s="65">
        <f t="shared" si="18"/>
        <v>0.0368055555555556</v>
      </c>
      <c r="AI97" s="59">
        <f t="shared" si="19"/>
        <v>0.240972222222222</v>
      </c>
    </row>
    <row r="98" spans="1:35">
      <c r="A98" s="34">
        <v>1929</v>
      </c>
      <c r="B98" s="43">
        <v>0.0104166666666667</v>
      </c>
      <c r="C98" s="14"/>
      <c r="D98" s="36">
        <v>0.0347222222222222</v>
      </c>
      <c r="E98" s="14"/>
      <c r="F98" s="36">
        <v>0.0111111111111111</v>
      </c>
      <c r="G98" s="14"/>
      <c r="H98" s="36">
        <v>0.0763888888888889</v>
      </c>
      <c r="I98" s="14">
        <v>17</v>
      </c>
      <c r="J98" s="36">
        <v>0.0930555555555556</v>
      </c>
      <c r="K98" s="14">
        <v>22</v>
      </c>
      <c r="L98" s="36">
        <v>0.222916666666667</v>
      </c>
      <c r="M98" s="14">
        <v>17</v>
      </c>
      <c r="N98" s="65">
        <f t="shared" si="16"/>
        <v>0.05625</v>
      </c>
      <c r="O98" s="59">
        <f t="shared" si="17"/>
        <v>0.392361111111111</v>
      </c>
      <c r="U98" s="34"/>
      <c r="V98" s="43">
        <v>0.00625</v>
      </c>
      <c r="W98" s="14"/>
      <c r="X98" s="36">
        <v>0.0291666666666667</v>
      </c>
      <c r="Y98" s="14"/>
      <c r="Z98" s="36">
        <v>0.00763888888888889</v>
      </c>
      <c r="AA98" s="14"/>
      <c r="AB98" s="36">
        <v>0.05625</v>
      </c>
      <c r="AC98" s="14">
        <v>22</v>
      </c>
      <c r="AD98" s="36">
        <v>0.0451388888888889</v>
      </c>
      <c r="AE98" s="14">
        <v>27</v>
      </c>
      <c r="AF98" s="36">
        <v>0.126388888888889</v>
      </c>
      <c r="AG98" s="14">
        <v>22</v>
      </c>
      <c r="AH98" s="65">
        <f t="shared" si="18"/>
        <v>0.0430555555555556</v>
      </c>
      <c r="AI98" s="59">
        <f t="shared" si="19"/>
        <v>0.227777777777778</v>
      </c>
    </row>
    <row r="99" spans="1:35">
      <c r="A99" s="34">
        <v>1858</v>
      </c>
      <c r="B99" s="43">
        <v>0.0145833333333333</v>
      </c>
      <c r="C99" s="14"/>
      <c r="D99" s="36">
        <v>0.0298611111111111</v>
      </c>
      <c r="E99" s="14"/>
      <c r="F99" s="36">
        <v>0.0125</v>
      </c>
      <c r="G99" s="14"/>
      <c r="H99" s="36">
        <v>0.0152777777777778</v>
      </c>
      <c r="I99" s="14">
        <v>12</v>
      </c>
      <c r="J99" s="36">
        <v>0.0604166666666667</v>
      </c>
      <c r="K99" s="14">
        <v>12</v>
      </c>
      <c r="L99" s="36">
        <v>0.107638888888889</v>
      </c>
      <c r="M99" s="14">
        <v>12</v>
      </c>
      <c r="N99" s="65">
        <f t="shared" si="16"/>
        <v>0.0569444444444444</v>
      </c>
      <c r="O99" s="59">
        <f t="shared" si="17"/>
        <v>0.183333333333334</v>
      </c>
      <c r="U99" s="34"/>
      <c r="V99" s="43">
        <v>0.00972222222222222</v>
      </c>
      <c r="W99" s="14"/>
      <c r="X99" s="36">
        <v>0.0194444444444444</v>
      </c>
      <c r="Y99" s="14"/>
      <c r="Z99" s="36">
        <v>0.00833333333333333</v>
      </c>
      <c r="AA99" s="14"/>
      <c r="AB99" s="36">
        <v>0.0583333333333333</v>
      </c>
      <c r="AC99" s="14">
        <v>22</v>
      </c>
      <c r="AD99" s="36">
        <v>0.05</v>
      </c>
      <c r="AE99" s="14">
        <v>17</v>
      </c>
      <c r="AF99" s="36">
        <v>0.0902777777777778</v>
      </c>
      <c r="AG99" s="14">
        <v>22</v>
      </c>
      <c r="AH99" s="65">
        <f t="shared" si="18"/>
        <v>0.0375</v>
      </c>
      <c r="AI99" s="59">
        <f t="shared" si="19"/>
        <v>0.198611111111111</v>
      </c>
    </row>
    <row r="100" spans="1:35">
      <c r="A100" s="34">
        <v>1930</v>
      </c>
      <c r="B100" s="43">
        <v>0.0104166666666667</v>
      </c>
      <c r="C100" s="14"/>
      <c r="D100" s="36">
        <v>0.0263888888888889</v>
      </c>
      <c r="E100" s="14"/>
      <c r="F100" s="36">
        <v>0.0118055555555556</v>
      </c>
      <c r="G100" s="14"/>
      <c r="H100" s="36">
        <v>0.0472222222222222</v>
      </c>
      <c r="I100" s="14">
        <v>12</v>
      </c>
      <c r="J100" s="36">
        <v>0.106944444444444</v>
      </c>
      <c r="K100" s="14">
        <v>22</v>
      </c>
      <c r="L100" s="36">
        <v>0.125</v>
      </c>
      <c r="M100" s="14">
        <v>17</v>
      </c>
      <c r="N100" s="65">
        <f t="shared" si="16"/>
        <v>0.0486111111111112</v>
      </c>
      <c r="O100" s="59">
        <f t="shared" si="17"/>
        <v>0.279166666666666</v>
      </c>
      <c r="U100" s="34"/>
      <c r="V100" s="43">
        <v>0.00625</v>
      </c>
      <c r="W100" s="14"/>
      <c r="X100" s="36">
        <v>0.01875</v>
      </c>
      <c r="Y100" s="14"/>
      <c r="Z100" s="36">
        <v>0.00833333333333333</v>
      </c>
      <c r="AA100" s="14"/>
      <c r="AB100" s="36">
        <v>0.0423611111111111</v>
      </c>
      <c r="AC100" s="14">
        <v>22</v>
      </c>
      <c r="AD100" s="36">
        <v>0.0819444444444444</v>
      </c>
      <c r="AE100" s="14">
        <v>27</v>
      </c>
      <c r="AF100" s="36">
        <v>0.104166666666667</v>
      </c>
      <c r="AG100" s="14">
        <v>22</v>
      </c>
      <c r="AH100" s="65">
        <f t="shared" si="18"/>
        <v>0.0333333333333333</v>
      </c>
      <c r="AI100" s="59">
        <f t="shared" si="19"/>
        <v>0.228472222222223</v>
      </c>
    </row>
    <row r="101" spans="1:35">
      <c r="A101" s="34">
        <v>1737</v>
      </c>
      <c r="B101" s="43">
        <v>0.0131944444444444</v>
      </c>
      <c r="C101" s="14"/>
      <c r="D101" s="36">
        <v>0.0256944444444444</v>
      </c>
      <c r="E101" s="14"/>
      <c r="F101" s="36">
        <v>0.00902777777777778</v>
      </c>
      <c r="G101" s="14"/>
      <c r="H101" s="36">
        <v>0.05625</v>
      </c>
      <c r="I101" s="14">
        <v>22</v>
      </c>
      <c r="J101" s="36">
        <v>0.0840277777777778</v>
      </c>
      <c r="K101" s="14">
        <v>22</v>
      </c>
      <c r="L101" s="36">
        <v>0.120833333333333</v>
      </c>
      <c r="M101" s="14">
        <v>22</v>
      </c>
      <c r="N101" s="65">
        <f t="shared" si="16"/>
        <v>0.0479166666666666</v>
      </c>
      <c r="O101" s="59">
        <f t="shared" si="17"/>
        <v>0.261111111111111</v>
      </c>
      <c r="U101" s="34"/>
      <c r="V101" s="43">
        <v>0.00763888888888889</v>
      </c>
      <c r="W101" s="14"/>
      <c r="X101" s="36">
        <v>0.0222222222222222</v>
      </c>
      <c r="Y101" s="14"/>
      <c r="Z101" s="36">
        <v>0.00763888888888889</v>
      </c>
      <c r="AA101" s="14"/>
      <c r="AB101" s="36">
        <v>0.0430555555555556</v>
      </c>
      <c r="AC101" s="14">
        <v>27</v>
      </c>
      <c r="AD101" s="36">
        <v>0.0770833333333333</v>
      </c>
      <c r="AE101" s="14">
        <v>27</v>
      </c>
      <c r="AF101" s="36">
        <v>0.0958333333333333</v>
      </c>
      <c r="AG101" s="14">
        <v>27</v>
      </c>
      <c r="AH101" s="65">
        <f t="shared" si="18"/>
        <v>0.0375</v>
      </c>
      <c r="AI101" s="59">
        <f t="shared" si="19"/>
        <v>0.215972222222222</v>
      </c>
    </row>
    <row r="102" spans="1:35">
      <c r="A102" s="34">
        <v>1893</v>
      </c>
      <c r="B102" s="43">
        <v>0.0284722222222222</v>
      </c>
      <c r="C102" s="14"/>
      <c r="D102" s="36">
        <v>0.0423611111111111</v>
      </c>
      <c r="E102" s="14"/>
      <c r="F102" s="36">
        <v>0.0208333333333333</v>
      </c>
      <c r="G102" s="14"/>
      <c r="H102" s="36">
        <v>0.0444444444444444</v>
      </c>
      <c r="I102" s="14">
        <v>12</v>
      </c>
      <c r="J102" s="36">
        <v>0.115972222222222</v>
      </c>
      <c r="K102" s="14">
        <v>12</v>
      </c>
      <c r="L102" s="36">
        <v>0.254861111111111</v>
      </c>
      <c r="M102" s="14">
        <v>12</v>
      </c>
      <c r="N102" s="65">
        <f t="shared" si="16"/>
        <v>0.0916666666666666</v>
      </c>
      <c r="O102" s="59">
        <f t="shared" si="17"/>
        <v>0.415277777777777</v>
      </c>
      <c r="U102" s="34"/>
      <c r="V102" s="43">
        <v>0.0201388888888889</v>
      </c>
      <c r="W102" s="14"/>
      <c r="X102" s="36">
        <v>0.0284722222222222</v>
      </c>
      <c r="Y102" s="14"/>
      <c r="Z102" s="36">
        <v>0.0131944444444444</v>
      </c>
      <c r="AA102" s="14"/>
      <c r="AB102" s="36">
        <v>0.0694444444444444</v>
      </c>
      <c r="AC102" s="14">
        <v>17</v>
      </c>
      <c r="AD102" s="36">
        <v>0.0819444444444444</v>
      </c>
      <c r="AE102" s="14">
        <v>22</v>
      </c>
      <c r="AF102" s="36">
        <v>0.208333333333333</v>
      </c>
      <c r="AG102" s="14">
        <v>17</v>
      </c>
      <c r="AH102" s="65">
        <f t="shared" si="18"/>
        <v>0.0618055555555555</v>
      </c>
      <c r="AI102" s="59">
        <f t="shared" si="19"/>
        <v>0.359722222222222</v>
      </c>
    </row>
    <row r="103" spans="1:35">
      <c r="A103" s="34">
        <v>1826</v>
      </c>
      <c r="B103" s="43">
        <v>0.0104166666666667</v>
      </c>
      <c r="C103" s="14"/>
      <c r="D103" s="36">
        <v>0.0215277777777778</v>
      </c>
      <c r="E103" s="14"/>
      <c r="F103" s="36">
        <v>0.0104166666666667</v>
      </c>
      <c r="G103" s="14"/>
      <c r="H103" s="36">
        <v>0.122916666666667</v>
      </c>
      <c r="I103" s="14">
        <v>22</v>
      </c>
      <c r="J103" s="36">
        <v>0.105555555555556</v>
      </c>
      <c r="K103" s="14">
        <v>22</v>
      </c>
      <c r="L103" s="36">
        <v>0.174305555555556</v>
      </c>
      <c r="M103" s="14">
        <v>17</v>
      </c>
      <c r="N103" s="65">
        <f t="shared" si="16"/>
        <v>0.0423611111111112</v>
      </c>
      <c r="O103" s="59">
        <f t="shared" si="17"/>
        <v>0.402777777777779</v>
      </c>
      <c r="U103" s="34"/>
      <c r="V103" s="43">
        <v>0.00694444444444444</v>
      </c>
      <c r="W103" s="14"/>
      <c r="X103" s="36">
        <v>0.0173611111111111</v>
      </c>
      <c r="Y103" s="14"/>
      <c r="Z103" s="36">
        <v>0.00763888888888889</v>
      </c>
      <c r="AA103" s="14"/>
      <c r="AB103" s="36">
        <v>0.0909722222222222</v>
      </c>
      <c r="AC103" s="14">
        <v>27</v>
      </c>
      <c r="AD103" s="36">
        <v>0.08125</v>
      </c>
      <c r="AE103" s="14">
        <v>27</v>
      </c>
      <c r="AF103" s="36">
        <v>0.144444444444444</v>
      </c>
      <c r="AG103" s="14">
        <v>22</v>
      </c>
      <c r="AH103" s="65">
        <f t="shared" si="18"/>
        <v>0.0319444444444444</v>
      </c>
      <c r="AI103" s="59">
        <f t="shared" si="19"/>
        <v>0.316666666666666</v>
      </c>
    </row>
    <row r="104" spans="1:35">
      <c r="A104" s="34">
        <v>1897</v>
      </c>
      <c r="B104" s="43">
        <v>0.0118055555555556</v>
      </c>
      <c r="C104" s="14"/>
      <c r="D104" s="36">
        <v>0.0375</v>
      </c>
      <c r="E104" s="14"/>
      <c r="F104" s="36">
        <v>0.0145833333333333</v>
      </c>
      <c r="G104" s="14"/>
      <c r="H104" s="36">
        <v>0.166666666666667</v>
      </c>
      <c r="I104" s="14">
        <v>22</v>
      </c>
      <c r="J104" s="36">
        <v>0.138888888888889</v>
      </c>
      <c r="K104" s="14">
        <v>22</v>
      </c>
      <c r="L104" s="36">
        <v>0.144444444444444</v>
      </c>
      <c r="M104" s="14">
        <v>17</v>
      </c>
      <c r="N104" s="65">
        <f t="shared" si="16"/>
        <v>0.0638888888888889</v>
      </c>
      <c r="O104" s="59">
        <f t="shared" si="17"/>
        <v>0.45</v>
      </c>
      <c r="U104" s="34"/>
      <c r="V104" s="43">
        <v>0.00694444444444444</v>
      </c>
      <c r="W104" s="14"/>
      <c r="X104" s="36">
        <v>0.0277777777777778</v>
      </c>
      <c r="Y104" s="14"/>
      <c r="Z104" s="36">
        <v>0.00833333333333333</v>
      </c>
      <c r="AA104" s="14"/>
      <c r="AB104" s="36">
        <v>0.152777777777778</v>
      </c>
      <c r="AC104" s="14">
        <v>27</v>
      </c>
      <c r="AD104" s="36">
        <v>0.122222222222222</v>
      </c>
      <c r="AE104" s="14">
        <v>27</v>
      </c>
      <c r="AF104" s="36">
        <v>0.120138888888889</v>
      </c>
      <c r="AG104" s="14">
        <v>22</v>
      </c>
      <c r="AH104" s="65">
        <f t="shared" si="18"/>
        <v>0.0430555555555556</v>
      </c>
      <c r="AI104" s="59">
        <f t="shared" si="19"/>
        <v>0.395138888888889</v>
      </c>
    </row>
    <row r="105" spans="1:35">
      <c r="A105" s="34">
        <v>1900</v>
      </c>
      <c r="B105" s="43">
        <v>0.0125</v>
      </c>
      <c r="C105" s="14"/>
      <c r="D105" s="36">
        <v>0.0388888888888889</v>
      </c>
      <c r="E105" s="14"/>
      <c r="F105" s="36">
        <v>0.01875</v>
      </c>
      <c r="G105" s="14"/>
      <c r="H105" s="36">
        <v>0.283333333333333</v>
      </c>
      <c r="I105" s="14">
        <v>22</v>
      </c>
      <c r="J105" s="36">
        <v>0.164583333333333</v>
      </c>
      <c r="K105" s="14">
        <v>22</v>
      </c>
      <c r="L105" s="36">
        <v>0.220138888888889</v>
      </c>
      <c r="M105" s="14">
        <v>22</v>
      </c>
      <c r="N105" s="65">
        <f t="shared" si="16"/>
        <v>0.0701388888888889</v>
      </c>
      <c r="O105" s="59">
        <f t="shared" si="17"/>
        <v>0.668055555555555</v>
      </c>
      <c r="U105" s="34"/>
      <c r="V105" s="43">
        <v>0.00694444444444444</v>
      </c>
      <c r="W105" s="14"/>
      <c r="X105" s="36">
        <v>0.0291666666666667</v>
      </c>
      <c r="Y105" s="14"/>
      <c r="Z105" s="36">
        <v>0.0125</v>
      </c>
      <c r="AA105" s="14"/>
      <c r="AB105" s="36">
        <v>0.154166666666667</v>
      </c>
      <c r="AC105" s="14">
        <v>27</v>
      </c>
      <c r="AD105" s="36">
        <v>0.117361111111111</v>
      </c>
      <c r="AE105" s="14">
        <v>27</v>
      </c>
      <c r="AF105" s="36">
        <v>0.168055555555556</v>
      </c>
      <c r="AG105" s="14">
        <v>22</v>
      </c>
      <c r="AH105" s="65">
        <f t="shared" si="18"/>
        <v>0.0486111111111111</v>
      </c>
      <c r="AI105" s="59">
        <f t="shared" si="19"/>
        <v>0.439583333333334</v>
      </c>
    </row>
    <row r="106" spans="1:35">
      <c r="A106" s="37">
        <v>1775</v>
      </c>
      <c r="B106" s="44">
        <v>0.03125</v>
      </c>
      <c r="C106" s="24"/>
      <c r="D106" s="39">
        <v>0.0381944444444444</v>
      </c>
      <c r="E106" s="24"/>
      <c r="F106" s="39">
        <v>0.0277777777777778</v>
      </c>
      <c r="G106" s="24"/>
      <c r="H106" s="39">
        <v>0.0638888888888889</v>
      </c>
      <c r="I106" s="24">
        <v>17</v>
      </c>
      <c r="J106" s="39">
        <v>0.0972222222222222</v>
      </c>
      <c r="K106" s="24">
        <v>22</v>
      </c>
      <c r="L106" s="39">
        <v>0.149305555555556</v>
      </c>
      <c r="M106" s="24">
        <v>17</v>
      </c>
      <c r="N106" s="66">
        <f t="shared" si="16"/>
        <v>0.0972222222222222</v>
      </c>
      <c r="O106" s="61">
        <f t="shared" si="17"/>
        <v>0.310416666666667</v>
      </c>
      <c r="U106" s="37"/>
      <c r="V106" s="44">
        <v>0.0194444444444444</v>
      </c>
      <c r="W106" s="24"/>
      <c r="X106" s="39">
        <v>0.0277777777777778</v>
      </c>
      <c r="Y106" s="24"/>
      <c r="Z106" s="39">
        <v>0.0131944444444444</v>
      </c>
      <c r="AA106" s="24"/>
      <c r="AB106" s="39">
        <v>0.0430555555555556</v>
      </c>
      <c r="AC106" s="24">
        <v>22</v>
      </c>
      <c r="AD106" s="39">
        <v>0.0819444444444444</v>
      </c>
      <c r="AE106" s="24">
        <v>27</v>
      </c>
      <c r="AF106" s="39">
        <v>0.125694444444444</v>
      </c>
      <c r="AG106" s="24">
        <v>22</v>
      </c>
      <c r="AH106" s="66">
        <f t="shared" si="18"/>
        <v>0.0604166666666666</v>
      </c>
      <c r="AI106" s="61">
        <f t="shared" si="19"/>
        <v>0.250694444444444</v>
      </c>
    </row>
    <row r="107" spans="14:36">
      <c r="N107">
        <v>1472</v>
      </c>
      <c r="O107">
        <v>8733</v>
      </c>
      <c r="P107">
        <v>10205</v>
      </c>
      <c r="Q107">
        <f>ABS((P107-AJ107)/P107)</f>
        <v>0.267515923566879</v>
      </c>
      <c r="AH107">
        <v>952</v>
      </c>
      <c r="AI107">
        <v>6523</v>
      </c>
      <c r="AJ107">
        <v>7475</v>
      </c>
    </row>
    <row r="108" spans="1:21">
      <c r="A108" t="s">
        <v>107</v>
      </c>
      <c r="U108" t="s">
        <v>26</v>
      </c>
    </row>
    <row r="109" spans="22:23">
      <c r="V109" s="40">
        <v>1821</v>
      </c>
      <c r="W109" t="s">
        <v>108</v>
      </c>
    </row>
    <row r="110" spans="22:22">
      <c r="V110" s="40"/>
    </row>
    <row r="111" spans="22:23">
      <c r="V111" s="40">
        <v>1776</v>
      </c>
      <c r="W111" t="s">
        <v>109</v>
      </c>
    </row>
    <row r="112" spans="22:22">
      <c r="V112" s="40"/>
    </row>
    <row r="113" spans="22:23">
      <c r="V113" s="40">
        <v>1885</v>
      </c>
      <c r="W113" t="s">
        <v>110</v>
      </c>
    </row>
    <row r="114" spans="22:22">
      <c r="V114" s="40"/>
    </row>
    <row r="115" spans="22:23">
      <c r="V115" s="40">
        <v>1936</v>
      </c>
      <c r="W115" t="s">
        <v>111</v>
      </c>
    </row>
    <row r="116" spans="22:22">
      <c r="V116" s="40"/>
    </row>
    <row r="117" spans="22:23">
      <c r="V117" s="40">
        <v>1873</v>
      </c>
      <c r="W117" t="s">
        <v>112</v>
      </c>
    </row>
    <row r="118" spans="22:22">
      <c r="V118" s="40"/>
    </row>
    <row r="119" spans="22:23">
      <c r="V119" s="40">
        <v>1857</v>
      </c>
      <c r="W119" t="s">
        <v>113</v>
      </c>
    </row>
    <row r="120" spans="22:22">
      <c r="V120" s="40"/>
    </row>
    <row r="121" spans="22:23">
      <c r="V121" s="40">
        <v>1844</v>
      </c>
      <c r="W121" t="s">
        <v>114</v>
      </c>
    </row>
    <row r="122" spans="22:22">
      <c r="V122" s="40"/>
    </row>
    <row r="123" spans="22:23">
      <c r="V123" s="40">
        <v>1797</v>
      </c>
      <c r="W123" t="s">
        <v>115</v>
      </c>
    </row>
    <row r="124" spans="22:22">
      <c r="V124" s="40"/>
    </row>
    <row r="125" spans="22:23">
      <c r="V125" s="40">
        <v>1929</v>
      </c>
      <c r="W125" t="s">
        <v>116</v>
      </c>
    </row>
    <row r="127" spans="22:23">
      <c r="V127" s="40">
        <v>1858</v>
      </c>
      <c r="W127" t="s">
        <v>117</v>
      </c>
    </row>
    <row r="129" spans="22:23">
      <c r="V129" s="40">
        <v>1930</v>
      </c>
      <c r="W129" t="s">
        <v>118</v>
      </c>
    </row>
    <row r="130" spans="22:22">
      <c r="V130" s="40"/>
    </row>
    <row r="131" spans="22:23">
      <c r="V131" s="40">
        <v>1737</v>
      </c>
      <c r="W131" t="s">
        <v>119</v>
      </c>
    </row>
    <row r="132" spans="22:22">
      <c r="V132" s="40"/>
    </row>
    <row r="133" spans="22:23">
      <c r="V133" s="40">
        <v>1893</v>
      </c>
      <c r="W133" t="s">
        <v>120</v>
      </c>
    </row>
    <row r="134" spans="22:22">
      <c r="V134" s="40"/>
    </row>
    <row r="135" spans="22:23">
      <c r="V135" s="40">
        <v>1826</v>
      </c>
      <c r="W135" t="s">
        <v>121</v>
      </c>
    </row>
    <row r="136" spans="22:22">
      <c r="V136" s="40"/>
    </row>
    <row r="137" spans="22:23">
      <c r="V137" s="40">
        <v>1897</v>
      </c>
      <c r="W137" t="s">
        <v>57</v>
      </c>
    </row>
    <row r="138" spans="22:22">
      <c r="V138" s="40"/>
    </row>
    <row r="139" spans="22:23">
      <c r="V139" s="40">
        <v>1900</v>
      </c>
      <c r="W139" t="s">
        <v>122</v>
      </c>
    </row>
    <row r="140" spans="22:22">
      <c r="V140" s="40"/>
    </row>
    <row r="141" spans="22:23">
      <c r="V141" s="40">
        <v>1775</v>
      </c>
      <c r="W141" t="s">
        <v>123</v>
      </c>
    </row>
    <row r="142" spans="1:4">
      <c r="A142" s="114"/>
      <c r="B142" s="115" t="s">
        <v>124</v>
      </c>
      <c r="C142" s="114"/>
      <c r="D142" s="114"/>
    </row>
    <row r="143" spans="1:10">
      <c r="A143" s="116" t="s">
        <v>125</v>
      </c>
      <c r="B143" s="115" t="s">
        <v>126</v>
      </c>
      <c r="C143" s="115" t="s">
        <v>127</v>
      </c>
      <c r="D143" s="115" t="s">
        <v>128</v>
      </c>
      <c r="I143" s="9" t="s">
        <v>129</v>
      </c>
      <c r="J143" s="9" t="s">
        <v>130</v>
      </c>
    </row>
    <row r="144" spans="1:11">
      <c r="A144" s="117">
        <v>1610</v>
      </c>
      <c r="B144" s="118"/>
      <c r="C144" s="118"/>
      <c r="D144" s="119" t="s">
        <v>131</v>
      </c>
      <c r="F144" s="120">
        <v>1821</v>
      </c>
      <c r="H144" s="117">
        <v>1610</v>
      </c>
      <c r="I144" s="133">
        <v>0</v>
      </c>
      <c r="J144" s="134">
        <v>2</v>
      </c>
      <c r="K144" s="135">
        <v>1858</v>
      </c>
    </row>
    <row r="145" spans="1:11">
      <c r="A145" s="121">
        <v>1606</v>
      </c>
      <c r="B145" s="122"/>
      <c r="C145" s="122" t="s">
        <v>132</v>
      </c>
      <c r="D145" s="123" t="s">
        <v>133</v>
      </c>
      <c r="F145" s="124">
        <v>1776</v>
      </c>
      <c r="H145" s="125">
        <v>1606</v>
      </c>
      <c r="I145" s="136">
        <v>0.9</v>
      </c>
      <c r="J145" s="137">
        <v>2</v>
      </c>
      <c r="K145" s="138">
        <v>1893</v>
      </c>
    </row>
    <row r="146" spans="1:11">
      <c r="A146" s="121">
        <v>1399</v>
      </c>
      <c r="B146" s="122"/>
      <c r="C146" s="122" t="s">
        <v>134</v>
      </c>
      <c r="D146" s="123" t="s">
        <v>132</v>
      </c>
      <c r="F146" s="124">
        <v>1885</v>
      </c>
      <c r="H146" s="121">
        <v>1399</v>
      </c>
      <c r="I146" s="136">
        <v>1.5</v>
      </c>
      <c r="J146" s="137">
        <v>3.4</v>
      </c>
      <c r="K146" s="138">
        <v>1821</v>
      </c>
    </row>
    <row r="147" spans="1:11">
      <c r="A147" s="121">
        <v>1901</v>
      </c>
      <c r="B147" s="122">
        <v>3</v>
      </c>
      <c r="C147" s="122">
        <v>1</v>
      </c>
      <c r="D147" s="123" t="s">
        <v>135</v>
      </c>
      <c r="F147" s="124">
        <v>1936</v>
      </c>
      <c r="H147" s="125">
        <v>1901</v>
      </c>
      <c r="I147" s="136">
        <v>1.8</v>
      </c>
      <c r="J147" s="137">
        <v>3.6</v>
      </c>
      <c r="K147" s="138">
        <v>1844</v>
      </c>
    </row>
    <row r="148" spans="1:11">
      <c r="A148" s="121">
        <v>1906</v>
      </c>
      <c r="B148" s="122">
        <v>5</v>
      </c>
      <c r="C148" s="122">
        <v>10</v>
      </c>
      <c r="D148" s="123" t="s">
        <v>136</v>
      </c>
      <c r="F148" s="124">
        <v>1873</v>
      </c>
      <c r="H148" s="121">
        <v>1906</v>
      </c>
      <c r="I148" s="136">
        <v>8</v>
      </c>
      <c r="J148" s="137">
        <v>3.7</v>
      </c>
      <c r="K148" s="138">
        <v>1826</v>
      </c>
    </row>
    <row r="149" spans="1:11">
      <c r="A149" s="126">
        <v>1858</v>
      </c>
      <c r="B149" s="127">
        <v>5</v>
      </c>
      <c r="C149" s="127"/>
      <c r="D149" s="128" t="s">
        <v>137</v>
      </c>
      <c r="F149" s="124">
        <v>1857</v>
      </c>
      <c r="H149" s="121">
        <v>1675</v>
      </c>
      <c r="I149" s="136">
        <v>2</v>
      </c>
      <c r="J149" s="137">
        <v>5</v>
      </c>
      <c r="K149" s="138">
        <v>1737</v>
      </c>
    </row>
    <row r="150" spans="1:11">
      <c r="A150" s="121">
        <v>1675</v>
      </c>
      <c r="B150" s="122">
        <v>5</v>
      </c>
      <c r="C150" s="122"/>
      <c r="D150" s="123" t="s">
        <v>137</v>
      </c>
      <c r="F150" s="124">
        <v>1844</v>
      </c>
      <c r="H150" s="121">
        <v>1624</v>
      </c>
      <c r="I150" s="136">
        <v>2.1</v>
      </c>
      <c r="J150" s="137">
        <v>5.1</v>
      </c>
      <c r="K150" s="138">
        <v>1897</v>
      </c>
    </row>
    <row r="151" spans="1:11">
      <c r="A151" s="126">
        <v>1893</v>
      </c>
      <c r="B151" s="127">
        <v>5</v>
      </c>
      <c r="C151" s="127"/>
      <c r="D151" s="128" t="s">
        <v>137</v>
      </c>
      <c r="F151" s="124">
        <v>1797</v>
      </c>
      <c r="H151" s="121">
        <v>1839</v>
      </c>
      <c r="I151" s="136">
        <v>2.7</v>
      </c>
      <c r="J151" s="137">
        <v>5.2</v>
      </c>
      <c r="K151" s="138">
        <v>1900</v>
      </c>
    </row>
    <row r="152" spans="1:11">
      <c r="A152" s="121">
        <v>1624</v>
      </c>
      <c r="B152" s="122">
        <v>3</v>
      </c>
      <c r="C152" s="122" t="s">
        <v>132</v>
      </c>
      <c r="D152" s="123" t="s">
        <v>138</v>
      </c>
      <c r="F152" s="124">
        <v>1929</v>
      </c>
      <c r="H152" s="121">
        <v>1714</v>
      </c>
      <c r="I152" s="136">
        <v>3.6</v>
      </c>
      <c r="J152" s="137">
        <v>5.4</v>
      </c>
      <c r="K152" s="138">
        <v>1936</v>
      </c>
    </row>
    <row r="153" spans="1:11">
      <c r="A153" s="121">
        <v>1839</v>
      </c>
      <c r="B153" s="122">
        <v>3</v>
      </c>
      <c r="C153" s="122" t="s">
        <v>134</v>
      </c>
      <c r="D153" s="123" t="s">
        <v>139</v>
      </c>
      <c r="F153" s="124">
        <v>1858</v>
      </c>
      <c r="H153" s="121">
        <v>1840</v>
      </c>
      <c r="I153" s="136">
        <v>3.7</v>
      </c>
      <c r="J153" s="137">
        <v>5.4</v>
      </c>
      <c r="K153" s="138">
        <v>1775</v>
      </c>
    </row>
    <row r="154" spans="1:11">
      <c r="A154" s="126">
        <v>1821</v>
      </c>
      <c r="B154" s="127"/>
      <c r="C154" s="127" t="s">
        <v>140</v>
      </c>
      <c r="D154" s="128" t="s">
        <v>141</v>
      </c>
      <c r="F154" s="124">
        <v>1930</v>
      </c>
      <c r="H154" s="121">
        <v>1386</v>
      </c>
      <c r="I154" s="139">
        <v>4</v>
      </c>
      <c r="J154" s="137">
        <v>5.4</v>
      </c>
      <c r="K154" s="138">
        <v>1885</v>
      </c>
    </row>
    <row r="155" spans="1:11">
      <c r="A155" s="126">
        <v>1844</v>
      </c>
      <c r="B155" s="127">
        <v>5</v>
      </c>
      <c r="C155" s="127" t="s">
        <v>142</v>
      </c>
      <c r="D155" s="128" t="s">
        <v>143</v>
      </c>
      <c r="F155" s="124">
        <v>1737</v>
      </c>
      <c r="H155" s="121">
        <v>1777</v>
      </c>
      <c r="I155" s="139">
        <v>5</v>
      </c>
      <c r="J155" s="137">
        <v>6.5</v>
      </c>
      <c r="K155" s="138">
        <v>1797</v>
      </c>
    </row>
    <row r="156" spans="1:11">
      <c r="A156" s="121">
        <v>1714</v>
      </c>
      <c r="B156" s="122">
        <v>6</v>
      </c>
      <c r="C156" s="122">
        <v>2</v>
      </c>
      <c r="D156" s="123" t="s">
        <v>143</v>
      </c>
      <c r="F156" s="124">
        <v>1893</v>
      </c>
      <c r="H156" s="121">
        <v>1726</v>
      </c>
      <c r="I156" s="136">
        <v>5.1</v>
      </c>
      <c r="J156" s="137">
        <v>6.7</v>
      </c>
      <c r="K156" s="138">
        <v>1929</v>
      </c>
    </row>
    <row r="157" spans="1:11">
      <c r="A157" s="126">
        <v>1826</v>
      </c>
      <c r="B157" s="127"/>
      <c r="C157" s="127" t="s">
        <v>144</v>
      </c>
      <c r="D157" s="128" t="s">
        <v>145</v>
      </c>
      <c r="F157" s="124">
        <v>1826</v>
      </c>
      <c r="H157" s="121">
        <v>1911</v>
      </c>
      <c r="I157" s="136">
        <v>7.6</v>
      </c>
      <c r="J157" s="137">
        <v>7.1</v>
      </c>
      <c r="K157" s="138">
        <v>1776</v>
      </c>
    </row>
    <row r="158" spans="1:11">
      <c r="A158" s="121">
        <v>1840</v>
      </c>
      <c r="B158" s="122">
        <v>5</v>
      </c>
      <c r="C158" s="122" t="s">
        <v>146</v>
      </c>
      <c r="D158" s="123" t="s">
        <v>145</v>
      </c>
      <c r="F158" s="124">
        <v>1897</v>
      </c>
      <c r="H158" s="121">
        <v>1903</v>
      </c>
      <c r="I158" s="136">
        <v>8.9</v>
      </c>
      <c r="J158" s="137">
        <v>8.2</v>
      </c>
      <c r="K158" s="138">
        <v>1857</v>
      </c>
    </row>
    <row r="159" spans="1:11">
      <c r="A159" s="121">
        <v>1386</v>
      </c>
      <c r="B159" s="122">
        <v>8</v>
      </c>
      <c r="C159" s="122" t="s">
        <v>147</v>
      </c>
      <c r="D159" s="123" t="s">
        <v>148</v>
      </c>
      <c r="F159" s="124">
        <v>1900</v>
      </c>
      <c r="H159" s="129">
        <v>1413</v>
      </c>
      <c r="I159" s="140">
        <v>5</v>
      </c>
      <c r="J159" s="137">
        <v>7.7</v>
      </c>
      <c r="K159" s="138">
        <v>1930</v>
      </c>
    </row>
    <row r="160" spans="1:11">
      <c r="A160" s="126">
        <v>1737</v>
      </c>
      <c r="B160" s="127">
        <v>5</v>
      </c>
      <c r="C160" s="127" t="s">
        <v>149</v>
      </c>
      <c r="D160" s="128" t="s">
        <v>150</v>
      </c>
      <c r="F160" s="130">
        <v>1775</v>
      </c>
      <c r="J160" s="141">
        <v>10</v>
      </c>
      <c r="K160" s="142">
        <v>1873</v>
      </c>
    </row>
    <row r="161" spans="1:10">
      <c r="A161" s="121">
        <v>1777</v>
      </c>
      <c r="B161" s="122">
        <v>8</v>
      </c>
      <c r="C161" s="122" t="s">
        <v>146</v>
      </c>
      <c r="D161" s="123" t="s">
        <v>150</v>
      </c>
      <c r="I161">
        <f>AVERAGE(I144:I159)</f>
        <v>3.86875</v>
      </c>
      <c r="J161">
        <f>AVERAGE(J144:J160)</f>
        <v>5.43529411764706</v>
      </c>
    </row>
    <row r="162" spans="1:4">
      <c r="A162" s="126">
        <v>1897</v>
      </c>
      <c r="B162" s="127">
        <v>5</v>
      </c>
      <c r="C162" s="127" t="s">
        <v>151</v>
      </c>
      <c r="D162" s="128" t="s">
        <v>151</v>
      </c>
    </row>
    <row r="163" spans="1:11">
      <c r="A163" s="121">
        <v>1726</v>
      </c>
      <c r="B163" s="122">
        <v>5</v>
      </c>
      <c r="C163" s="122" t="s">
        <v>152</v>
      </c>
      <c r="D163" s="123" t="s">
        <v>151</v>
      </c>
      <c r="H163" t="s">
        <v>153</v>
      </c>
      <c r="K163" t="s">
        <v>107</v>
      </c>
    </row>
    <row r="164" spans="1:4">
      <c r="A164" s="126">
        <v>1900</v>
      </c>
      <c r="B164" s="127"/>
      <c r="C164" s="127" t="s">
        <v>154</v>
      </c>
      <c r="D164" s="128" t="s">
        <v>152</v>
      </c>
    </row>
    <row r="165" spans="1:4">
      <c r="A165" s="126">
        <v>1936</v>
      </c>
      <c r="B165" s="127">
        <v>5</v>
      </c>
      <c r="C165" s="127" t="s">
        <v>140</v>
      </c>
      <c r="D165" s="128" t="s">
        <v>155</v>
      </c>
    </row>
    <row r="166" spans="1:4">
      <c r="A166" s="126">
        <v>1775</v>
      </c>
      <c r="B166" s="127">
        <v>8</v>
      </c>
      <c r="C166" s="127" t="s">
        <v>143</v>
      </c>
      <c r="D166" s="128" t="s">
        <v>155</v>
      </c>
    </row>
    <row r="167" spans="1:4">
      <c r="A167" s="126">
        <v>1885</v>
      </c>
      <c r="B167" s="127">
        <v>5</v>
      </c>
      <c r="C167" s="127" t="s">
        <v>156</v>
      </c>
      <c r="D167" s="128" t="s">
        <v>155</v>
      </c>
    </row>
    <row r="168" spans="1:4">
      <c r="A168" s="126">
        <v>1797</v>
      </c>
      <c r="B168" s="127">
        <v>5</v>
      </c>
      <c r="C168" s="127" t="s">
        <v>157</v>
      </c>
      <c r="D168" s="128" t="s">
        <v>158</v>
      </c>
    </row>
    <row r="169" spans="1:4">
      <c r="A169" s="126">
        <v>1929</v>
      </c>
      <c r="B169" s="127">
        <v>10</v>
      </c>
      <c r="C169" s="127" t="s">
        <v>149</v>
      </c>
      <c r="D169" s="128" t="s">
        <v>159</v>
      </c>
    </row>
    <row r="170" spans="1:4">
      <c r="A170" s="126">
        <v>1776</v>
      </c>
      <c r="B170" s="127">
        <v>8</v>
      </c>
      <c r="C170" s="127" t="s">
        <v>158</v>
      </c>
      <c r="D170" s="128" t="s">
        <v>160</v>
      </c>
    </row>
    <row r="171" spans="1:4">
      <c r="A171" s="121">
        <v>1911</v>
      </c>
      <c r="B171" s="122">
        <v>10</v>
      </c>
      <c r="C171" s="122">
        <v>6</v>
      </c>
      <c r="D171" s="123" t="s">
        <v>161</v>
      </c>
    </row>
    <row r="172" spans="1:4">
      <c r="A172" s="126">
        <v>1857</v>
      </c>
      <c r="B172" s="127">
        <v>10</v>
      </c>
      <c r="C172" s="127">
        <v>7</v>
      </c>
      <c r="D172" s="128" t="s">
        <v>162</v>
      </c>
    </row>
    <row r="173" spans="1:4">
      <c r="A173" s="126">
        <v>1930</v>
      </c>
      <c r="B173" s="127">
        <v>10</v>
      </c>
      <c r="C173" s="127" t="s">
        <v>163</v>
      </c>
      <c r="D173" s="128" t="s">
        <v>164</v>
      </c>
    </row>
    <row r="174" spans="1:4">
      <c r="A174" s="121">
        <v>1903</v>
      </c>
      <c r="B174" s="122">
        <v>10</v>
      </c>
      <c r="C174" s="122" t="s">
        <v>162</v>
      </c>
      <c r="D174" s="123" t="s">
        <v>165</v>
      </c>
    </row>
    <row r="175" spans="1:4">
      <c r="A175" s="126">
        <v>1873</v>
      </c>
      <c r="B175" s="127">
        <v>10</v>
      </c>
      <c r="C175" s="127">
        <v>10</v>
      </c>
      <c r="D175" s="128" t="s">
        <v>166</v>
      </c>
    </row>
    <row r="176" spans="1:4">
      <c r="A176" s="129">
        <v>1413</v>
      </c>
      <c r="B176" s="131">
        <v>5</v>
      </c>
      <c r="C176" s="131">
        <v>5</v>
      </c>
      <c r="D176" s="132" t="s">
        <v>150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Antonis</dc:creator>
  <cp:lastModifiedBy>Antonis GF7</cp:lastModifiedBy>
  <dcterms:created xsi:type="dcterms:W3CDTF">2024-05-29T08:59:00Z</dcterms:created>
  <dcterms:modified xsi:type="dcterms:W3CDTF">2025-08-21T10:46:13Z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6E4C7CCE6B5E48EEADD49A65CBD71999_11</vt:lpwstr>
  </property>
  <property fmtid="{D5CDD505-2E9C-101B-9397-08002B2CF9AE}" pid="3" name="KSOProductBuildVer">
    <vt:lpwstr>1033-12.2.0.21931</vt:lpwstr>
  </property>
</Properties>
</file>